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Money Coach\OneDrive\Desktop\"/>
    </mc:Choice>
  </mc:AlternateContent>
  <xr:revisionPtr revIDLastSave="0" documentId="13_ncr:1_{E1D11CAE-CF05-4146-B1F4-954EA60B3A6C}" xr6:coauthVersionLast="47" xr6:coauthVersionMax="47" xr10:uidLastSave="{00000000-0000-0000-0000-000000000000}"/>
  <bookViews>
    <workbookView xWindow="-120" yWindow="-120" windowWidth="29040" windowHeight="15720" tabRatio="762" xr2:uid="{00000000-000D-0000-FFFF-FFFF00000000}"/>
  </bookViews>
  <sheets>
    <sheet name="Unit 1 - งบแสดงฐานะการเงิน" sheetId="1" r:id="rId1"/>
    <sheet name="Unit 2 - งบรายรับรายจ่าย" sheetId="2" r:id="rId2"/>
    <sheet name="Unit 3 - ตรวจสุขภาพการเงิน" sheetId="10" r:id="rId3"/>
    <sheet name="คำนวณเงินกู้ (Loan Calculator)" sheetId="7" r:id="rId4"/>
    <sheet name="วางแผนลงทุนเอง" sheetId="9" r:id="rId5"/>
    <sheet name="อ้างอิง" sheetId="6" state="hidden" r:id="rId6"/>
  </sheets>
  <definedNames>
    <definedName name="_xlnm.Print_Area" localSheetId="0">'Unit 1 - งบแสดงฐานะการเงิน'!$B$1:$I$47</definedName>
    <definedName name="_xlnm.Print_Area" localSheetId="1">'Unit 2 - งบรายรับรายจ่าย'!$B$1:$P$44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9" l="1"/>
  <c r="C8" i="9"/>
  <c r="C10" i="9"/>
  <c r="G3" i="9"/>
  <c r="G4" i="9"/>
  <c r="H4" i="9"/>
  <c r="G30" i="1"/>
  <c r="D38" i="2"/>
  <c r="E38" i="2"/>
  <c r="F38" i="2"/>
  <c r="G38" i="2"/>
  <c r="H38" i="2"/>
  <c r="I38" i="2"/>
  <c r="J38" i="2"/>
  <c r="K38" i="2"/>
  <c r="L38" i="2"/>
  <c r="M38" i="2"/>
  <c r="N38" i="2"/>
  <c r="O38" i="2"/>
  <c r="D22" i="2"/>
  <c r="E22" i="2" s="1"/>
  <c r="F22" i="2" s="1"/>
  <c r="G22" i="2" s="1"/>
  <c r="H22" i="2" s="1"/>
  <c r="I22" i="2" s="1"/>
  <c r="J22" i="2" s="1"/>
  <c r="K22" i="2" s="1"/>
  <c r="L22" i="2" s="1"/>
  <c r="M22" i="2" s="1"/>
  <c r="N22" i="2" s="1"/>
  <c r="O22" i="2" l="1"/>
  <c r="D30" i="2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D31" i="2"/>
  <c r="E31" i="2" s="1"/>
  <c r="F31" i="2" s="1"/>
  <c r="G31" i="2" s="1"/>
  <c r="H31" i="2" s="1"/>
  <c r="I31" i="2" s="1"/>
  <c r="J31" i="2" s="1"/>
  <c r="K31" i="2" s="1"/>
  <c r="L31" i="2" s="1"/>
  <c r="M31" i="2" s="1"/>
  <c r="N31" i="2" s="1"/>
  <c r="O31" i="2"/>
  <c r="D40" i="2"/>
  <c r="E40" i="2" s="1"/>
  <c r="F40" i="2" s="1"/>
  <c r="G40" i="2" s="1"/>
  <c r="H40" i="2" s="1"/>
  <c r="I40" i="2" s="1"/>
  <c r="J40" i="2" s="1"/>
  <c r="K40" i="2" s="1"/>
  <c r="L40" i="2" s="1"/>
  <c r="M40" i="2" s="1"/>
  <c r="N40" i="2" s="1"/>
  <c r="H9" i="1"/>
  <c r="H10" i="1"/>
  <c r="H11" i="1"/>
  <c r="H12" i="1"/>
  <c r="H13" i="1"/>
  <c r="H14" i="1"/>
  <c r="H15" i="1"/>
  <c r="H23" i="1"/>
  <c r="N5" i="2"/>
  <c r="N6" i="2"/>
  <c r="D23" i="2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D24" i="2"/>
  <c r="D25" i="2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E5" i="2"/>
  <c r="F5" i="2"/>
  <c r="G5" i="2"/>
  <c r="H5" i="2"/>
  <c r="I5" i="2"/>
  <c r="J5" i="2"/>
  <c r="K5" i="2"/>
  <c r="L5" i="2"/>
  <c r="M5" i="2"/>
  <c r="D5" i="2"/>
  <c r="B18" i="7"/>
  <c r="H3" i="9"/>
  <c r="I4" i="7"/>
  <c r="G5" i="7" s="1"/>
  <c r="C7" i="7"/>
  <c r="C8" i="7" s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" i="9"/>
  <c r="O40" i="2" l="1"/>
  <c r="O30" i="2"/>
  <c r="E24" i="2"/>
  <c r="F24" i="2" s="1"/>
  <c r="G24" i="2" s="1"/>
  <c r="H24" i="2" s="1"/>
  <c r="I24" i="2" s="1"/>
  <c r="J24" i="2" s="1"/>
  <c r="K24" i="2" s="1"/>
  <c r="L24" i="2" s="1"/>
  <c r="M24" i="2" s="1"/>
  <c r="N24" i="2" s="1"/>
  <c r="O25" i="2"/>
  <c r="O23" i="2"/>
  <c r="O5" i="2"/>
  <c r="A7" i="7"/>
  <c r="B13" i="7"/>
  <c r="B15" i="7"/>
  <c r="A13" i="7"/>
  <c r="C13" i="7"/>
  <c r="C18" i="7" s="1"/>
  <c r="B14" i="7"/>
  <c r="B17" i="7"/>
  <c r="H5" i="9"/>
  <c r="F5" i="7"/>
  <c r="C9" i="7"/>
  <c r="G5" i="9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H30" i="1"/>
  <c r="O19" i="2"/>
  <c r="O20" i="2"/>
  <c r="O21" i="2"/>
  <c r="O32" i="2"/>
  <c r="D36" i="2"/>
  <c r="E36" i="2" s="1"/>
  <c r="F36" i="2" s="1"/>
  <c r="G36" i="2" s="1"/>
  <c r="H36" i="2" s="1"/>
  <c r="I36" i="2" s="1"/>
  <c r="J36" i="2" s="1"/>
  <c r="K36" i="2" s="1"/>
  <c r="L36" i="2" s="1"/>
  <c r="M36" i="2" s="1"/>
  <c r="N36" i="2" s="1"/>
  <c r="D37" i="2"/>
  <c r="D39" i="2"/>
  <c r="E39" i="2" s="1"/>
  <c r="F39" i="2" s="1"/>
  <c r="G39" i="2" s="1"/>
  <c r="H39" i="2" s="1"/>
  <c r="I39" i="2" s="1"/>
  <c r="J39" i="2" s="1"/>
  <c r="K39" i="2" s="1"/>
  <c r="L39" i="2" s="1"/>
  <c r="M39" i="2" s="1"/>
  <c r="N39" i="2" s="1"/>
  <c r="D41" i="2"/>
  <c r="E41" i="2" s="1"/>
  <c r="F41" i="2" s="1"/>
  <c r="G41" i="2" s="1"/>
  <c r="H41" i="2" s="1"/>
  <c r="I41" i="2" s="1"/>
  <c r="J41" i="2" s="1"/>
  <c r="K41" i="2" s="1"/>
  <c r="L41" i="2" s="1"/>
  <c r="M41" i="2" s="1"/>
  <c r="N41" i="2" s="1"/>
  <c r="D35" i="2"/>
  <c r="E35" i="2" s="1"/>
  <c r="F35" i="2" s="1"/>
  <c r="G35" i="2" s="1"/>
  <c r="H35" i="2" s="1"/>
  <c r="I35" i="2" s="1"/>
  <c r="J35" i="2" s="1"/>
  <c r="K35" i="2" s="1"/>
  <c r="L35" i="2" s="1"/>
  <c r="M35" i="2" s="1"/>
  <c r="N35" i="2" s="1"/>
  <c r="D18" i="2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D19" i="2"/>
  <c r="E19" i="2" s="1"/>
  <c r="F19" i="2" s="1"/>
  <c r="G19" i="2" s="1"/>
  <c r="H19" i="2" s="1"/>
  <c r="I19" i="2" s="1"/>
  <c r="J19" i="2" s="1"/>
  <c r="K19" i="2" s="1"/>
  <c r="L19" i="2" s="1"/>
  <c r="M19" i="2" s="1"/>
  <c r="N19" i="2" s="1"/>
  <c r="D20" i="2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D21" i="2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D26" i="2"/>
  <c r="D27" i="2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D28" i="2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D29" i="2"/>
  <c r="E29" i="2" s="1"/>
  <c r="F29" i="2" s="1"/>
  <c r="G29" i="2" s="1"/>
  <c r="H29" i="2" s="1"/>
  <c r="I29" i="2" s="1"/>
  <c r="J29" i="2" s="1"/>
  <c r="K29" i="2" s="1"/>
  <c r="L29" i="2" s="1"/>
  <c r="M29" i="2" s="1"/>
  <c r="N29" i="2" s="1"/>
  <c r="D32" i="2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D17" i="2"/>
  <c r="D13" i="2"/>
  <c r="D12" i="2"/>
  <c r="E12" i="2" s="1"/>
  <c r="C14" i="2"/>
  <c r="D4" i="2"/>
  <c r="E6" i="2"/>
  <c r="F6" i="2"/>
  <c r="G6" i="2"/>
  <c r="H6" i="2"/>
  <c r="I6" i="2"/>
  <c r="J6" i="2"/>
  <c r="K6" i="2"/>
  <c r="L6" i="2"/>
  <c r="M6" i="2"/>
  <c r="E17" i="2" l="1"/>
  <c r="F17" i="2" s="1"/>
  <c r="G17" i="2" s="1"/>
  <c r="H17" i="2" s="1"/>
  <c r="I17" i="2" s="1"/>
  <c r="J17" i="2" s="1"/>
  <c r="K17" i="2" s="1"/>
  <c r="L17" i="2" s="1"/>
  <c r="M17" i="2" s="1"/>
  <c r="N17" i="2" s="1"/>
  <c r="O17" i="2"/>
  <c r="O29" i="2"/>
  <c r="O24" i="2"/>
  <c r="E37" i="2"/>
  <c r="F37" i="2" s="1"/>
  <c r="G37" i="2" s="1"/>
  <c r="H37" i="2" s="1"/>
  <c r="I37" i="2" s="1"/>
  <c r="J37" i="2" s="1"/>
  <c r="K37" i="2" s="1"/>
  <c r="L37" i="2" s="1"/>
  <c r="M37" i="2" s="1"/>
  <c r="N37" i="2" s="1"/>
  <c r="O28" i="2"/>
  <c r="O27" i="2"/>
  <c r="O18" i="2"/>
  <c r="E26" i="2"/>
  <c r="F26" i="2" s="1"/>
  <c r="G26" i="2" s="1"/>
  <c r="H26" i="2" s="1"/>
  <c r="I26" i="2" s="1"/>
  <c r="J26" i="2" s="1"/>
  <c r="K26" i="2" s="1"/>
  <c r="L26" i="2" s="1"/>
  <c r="M26" i="2" s="1"/>
  <c r="N26" i="2" s="1"/>
  <c r="O41" i="2"/>
  <c r="O36" i="2"/>
  <c r="H5" i="7"/>
  <c r="I4" i="9"/>
  <c r="H6" i="9"/>
  <c r="I5" i="9"/>
  <c r="O39" i="2"/>
  <c r="O35" i="2"/>
  <c r="E13" i="2"/>
  <c r="F13" i="2" s="1"/>
  <c r="G13" i="2" s="1"/>
  <c r="H13" i="2" s="1"/>
  <c r="I13" i="2" s="1"/>
  <c r="J13" i="2" s="1"/>
  <c r="K13" i="2" s="1"/>
  <c r="L13" i="2" s="1"/>
  <c r="M13" i="2" s="1"/>
  <c r="N13" i="2" s="1"/>
  <c r="F12" i="2"/>
  <c r="G12" i="2" s="1"/>
  <c r="H12" i="2" s="1"/>
  <c r="I12" i="2" s="1"/>
  <c r="J12" i="2" s="1"/>
  <c r="K12" i="2" s="1"/>
  <c r="L12" i="2" s="1"/>
  <c r="M12" i="2" s="1"/>
  <c r="N12" i="2" s="1"/>
  <c r="O37" i="2" l="1"/>
  <c r="O26" i="2"/>
  <c r="I5" i="7"/>
  <c r="F6" i="7" s="1"/>
  <c r="H7" i="9"/>
  <c r="I6" i="9"/>
  <c r="O13" i="2"/>
  <c r="O12" i="2"/>
  <c r="D11" i="2"/>
  <c r="D10" i="2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D9" i="2"/>
  <c r="D6" i="2"/>
  <c r="O6" i="2" s="1"/>
  <c r="G6" i="7" l="1"/>
  <c r="H8" i="9"/>
  <c r="I7" i="9"/>
  <c r="D14" i="2"/>
  <c r="O10" i="2"/>
  <c r="E11" i="2"/>
  <c r="F11" i="2" s="1"/>
  <c r="G11" i="2" s="1"/>
  <c r="H11" i="2" s="1"/>
  <c r="I11" i="2" s="1"/>
  <c r="J11" i="2" s="1"/>
  <c r="K11" i="2" s="1"/>
  <c r="L11" i="2" s="1"/>
  <c r="M11" i="2" s="1"/>
  <c r="N11" i="2" s="1"/>
  <c r="H6" i="7" l="1"/>
  <c r="H9" i="9"/>
  <c r="I8" i="9"/>
  <c r="O11" i="2"/>
  <c r="E4" i="2"/>
  <c r="F4" i="2"/>
  <c r="G4" i="2"/>
  <c r="H4" i="2"/>
  <c r="I4" i="2"/>
  <c r="J4" i="2"/>
  <c r="K4" i="2"/>
  <c r="L4" i="2"/>
  <c r="M4" i="2"/>
  <c r="N4" i="2"/>
  <c r="I6" i="7" l="1"/>
  <c r="F7" i="7" s="1"/>
  <c r="H10" i="9"/>
  <c r="I9" i="9"/>
  <c r="O4" i="2"/>
  <c r="G7" i="7" l="1"/>
  <c r="H11" i="9"/>
  <c r="I10" i="9"/>
  <c r="C13" i="1"/>
  <c r="C26" i="1"/>
  <c r="C32" i="1"/>
  <c r="C42" i="2"/>
  <c r="C33" i="2"/>
  <c r="E9" i="2"/>
  <c r="E14" i="2" s="1"/>
  <c r="C7" i="2"/>
  <c r="K7" i="2"/>
  <c r="H7" i="7" l="1"/>
  <c r="H12" i="9"/>
  <c r="I11" i="9"/>
  <c r="H26" i="1"/>
  <c r="H27" i="1"/>
  <c r="H18" i="1"/>
  <c r="H19" i="1"/>
  <c r="H8" i="1"/>
  <c r="F9" i="2"/>
  <c r="H22" i="1"/>
  <c r="C33" i="1"/>
  <c r="H17" i="1"/>
  <c r="H21" i="1"/>
  <c r="H25" i="1"/>
  <c r="H29" i="1"/>
  <c r="H28" i="1"/>
  <c r="N7" i="2"/>
  <c r="C43" i="2"/>
  <c r="C44" i="2" s="1"/>
  <c r="L7" i="2"/>
  <c r="M7" i="2"/>
  <c r="F7" i="2"/>
  <c r="E7" i="2"/>
  <c r="J7" i="2"/>
  <c r="L33" i="2"/>
  <c r="D42" i="2"/>
  <c r="D33" i="2"/>
  <c r="M33" i="2"/>
  <c r="L42" i="2"/>
  <c r="K33" i="2"/>
  <c r="H33" i="2"/>
  <c r="E33" i="2"/>
  <c r="D7" i="2"/>
  <c r="K42" i="2"/>
  <c r="J33" i="2"/>
  <c r="M42" i="2"/>
  <c r="G7" i="2"/>
  <c r="I33" i="2"/>
  <c r="N42" i="2"/>
  <c r="H42" i="2"/>
  <c r="G42" i="2"/>
  <c r="I7" i="2"/>
  <c r="G33" i="2"/>
  <c r="F33" i="2"/>
  <c r="N33" i="2"/>
  <c r="J42" i="2"/>
  <c r="H7" i="2"/>
  <c r="I42" i="2"/>
  <c r="F42" i="2"/>
  <c r="E42" i="2"/>
  <c r="E6" i="10" l="1"/>
  <c r="D9" i="1"/>
  <c r="D10" i="1"/>
  <c r="D11" i="1"/>
  <c r="I7" i="7"/>
  <c r="F8" i="7" s="1"/>
  <c r="H13" i="9"/>
  <c r="I12" i="9"/>
  <c r="G33" i="1"/>
  <c r="H33" i="1" s="1"/>
  <c r="G9" i="2"/>
  <c r="F14" i="2"/>
  <c r="D17" i="1"/>
  <c r="D31" i="1"/>
  <c r="D30" i="1"/>
  <c r="D25" i="1"/>
  <c r="D8" i="1"/>
  <c r="D12" i="1"/>
  <c r="D13" i="1"/>
  <c r="D22" i="1"/>
  <c r="D7" i="1"/>
  <c r="D16" i="1"/>
  <c r="D32" i="1"/>
  <c r="D23" i="1"/>
  <c r="D18" i="1"/>
  <c r="D28" i="1"/>
  <c r="D26" i="1"/>
  <c r="D19" i="1"/>
  <c r="D21" i="1"/>
  <c r="D24" i="1"/>
  <c r="D15" i="1"/>
  <c r="N43" i="2"/>
  <c r="D43" i="2"/>
  <c r="D44" i="2" s="1"/>
  <c r="L43" i="2"/>
  <c r="H43" i="2"/>
  <c r="E43" i="2"/>
  <c r="K43" i="2"/>
  <c r="M43" i="2"/>
  <c r="F43" i="2"/>
  <c r="G43" i="2"/>
  <c r="O7" i="2"/>
  <c r="O42" i="2"/>
  <c r="I43" i="2"/>
  <c r="O33" i="2"/>
  <c r="J43" i="2"/>
  <c r="P30" i="2" l="1"/>
  <c r="P31" i="2"/>
  <c r="P22" i="2"/>
  <c r="P40" i="2"/>
  <c r="P5" i="2"/>
  <c r="E4" i="10"/>
  <c r="P41" i="2"/>
  <c r="P27" i="2"/>
  <c r="P42" i="2"/>
  <c r="P28" i="2"/>
  <c r="P29" i="2"/>
  <c r="P6" i="2"/>
  <c r="P35" i="2"/>
  <c r="P18" i="2"/>
  <c r="P32" i="2"/>
  <c r="P19" i="2"/>
  <c r="P33" i="2"/>
  <c r="P20" i="2"/>
  <c r="P17" i="2"/>
  <c r="P21" i="2"/>
  <c r="P23" i="2"/>
  <c r="P11" i="2"/>
  <c r="P36" i="2"/>
  <c r="P24" i="2"/>
  <c r="P10" i="2"/>
  <c r="P37" i="2"/>
  <c r="P25" i="2"/>
  <c r="P12" i="2"/>
  <c r="P39" i="2"/>
  <c r="P26" i="2"/>
  <c r="P13" i="2"/>
  <c r="P4" i="2"/>
  <c r="G8" i="7"/>
  <c r="H14" i="9"/>
  <c r="I13" i="9"/>
  <c r="H9" i="2"/>
  <c r="G14" i="2"/>
  <c r="E44" i="2"/>
  <c r="D33" i="1"/>
  <c r="O43" i="2"/>
  <c r="E5" i="10" s="1"/>
  <c r="F44" i="2"/>
  <c r="P43" i="2" l="1"/>
  <c r="H8" i="7"/>
  <c r="I8" i="7" s="1"/>
  <c r="F9" i="7" s="1"/>
  <c r="H15" i="9"/>
  <c r="I14" i="9"/>
  <c r="I9" i="2"/>
  <c r="H14" i="2"/>
  <c r="G44" i="2"/>
  <c r="G9" i="7" l="1"/>
  <c r="H16" i="9"/>
  <c r="I15" i="9"/>
  <c r="J9" i="2"/>
  <c r="I14" i="2"/>
  <c r="H44" i="2"/>
  <c r="H9" i="7" l="1"/>
  <c r="H17" i="9"/>
  <c r="I16" i="9"/>
  <c r="K9" i="2"/>
  <c r="J14" i="2"/>
  <c r="I44" i="2"/>
  <c r="I9" i="7" l="1"/>
  <c r="F10" i="7" s="1"/>
  <c r="H18" i="9"/>
  <c r="I17" i="9"/>
  <c r="L9" i="2"/>
  <c r="K14" i="2"/>
  <c r="J44" i="2"/>
  <c r="G10" i="7" l="1"/>
  <c r="H19" i="9"/>
  <c r="I18" i="9"/>
  <c r="M9" i="2"/>
  <c r="L14" i="2"/>
  <c r="K44" i="2"/>
  <c r="H10" i="7" l="1"/>
  <c r="I10" i="7" s="1"/>
  <c r="F11" i="7" s="1"/>
  <c r="H20" i="9"/>
  <c r="I19" i="9"/>
  <c r="N9" i="2"/>
  <c r="N14" i="2" s="1"/>
  <c r="M14" i="2"/>
  <c r="L44" i="2"/>
  <c r="G11" i="7" l="1"/>
  <c r="H21" i="9"/>
  <c r="I20" i="9"/>
  <c r="O9" i="2"/>
  <c r="P9" i="2" s="1"/>
  <c r="M44" i="2"/>
  <c r="H11" i="7" l="1"/>
  <c r="I11" i="7" s="1"/>
  <c r="F12" i="7" s="1"/>
  <c r="H22" i="9"/>
  <c r="I21" i="9"/>
  <c r="O14" i="2"/>
  <c r="N44" i="2"/>
  <c r="E3" i="10" l="1"/>
  <c r="P14" i="2"/>
  <c r="G12" i="7"/>
  <c r="H23" i="9"/>
  <c r="I22" i="9"/>
  <c r="O44" i="2"/>
  <c r="P44" i="2" s="1"/>
  <c r="H12" i="7" l="1"/>
  <c r="I12" i="7" s="1"/>
  <c r="F13" i="7" s="1"/>
  <c r="H24" i="9"/>
  <c r="I23" i="9"/>
  <c r="G13" i="7" l="1"/>
  <c r="H25" i="9"/>
  <c r="I24" i="9"/>
  <c r="H13" i="7" l="1"/>
  <c r="I13" i="7" s="1"/>
  <c r="F14" i="7" s="1"/>
  <c r="H26" i="9"/>
  <c r="I25" i="9"/>
  <c r="G14" i="7" l="1"/>
  <c r="H14" i="7" s="1"/>
  <c r="I14" i="7" s="1"/>
  <c r="F15" i="7" s="1"/>
  <c r="H27" i="9"/>
  <c r="I26" i="9"/>
  <c r="G15" i="7" l="1"/>
  <c r="H28" i="9"/>
  <c r="I27" i="9"/>
  <c r="H15" i="7" l="1"/>
  <c r="I15" i="7" s="1"/>
  <c r="F16" i="7" s="1"/>
  <c r="H29" i="9"/>
  <c r="I28" i="9"/>
  <c r="G16" i="7" l="1"/>
  <c r="H30" i="9"/>
  <c r="I29" i="9"/>
  <c r="H16" i="7" l="1"/>
  <c r="I16" i="7" s="1"/>
  <c r="F17" i="7" s="1"/>
  <c r="H31" i="9"/>
  <c r="I30" i="9"/>
  <c r="G17" i="7" l="1"/>
  <c r="H32" i="9"/>
  <c r="I31" i="9"/>
  <c r="H17" i="7" l="1"/>
  <c r="I17" i="7" s="1"/>
  <c r="F18" i="7" s="1"/>
  <c r="H33" i="9"/>
  <c r="I32" i="9"/>
  <c r="G18" i="7" l="1"/>
  <c r="H34" i="9"/>
  <c r="I33" i="9"/>
  <c r="H18" i="7" l="1"/>
  <c r="I18" i="7" s="1"/>
  <c r="F19" i="7" s="1"/>
  <c r="H35" i="9"/>
  <c r="I34" i="9"/>
  <c r="G19" i="7" l="1"/>
  <c r="H19" i="7" s="1"/>
  <c r="I19" i="7" s="1"/>
  <c r="F20" i="7" s="1"/>
  <c r="H36" i="9"/>
  <c r="I35" i="9"/>
  <c r="G20" i="7" l="1"/>
  <c r="H37" i="9"/>
  <c r="I36" i="9"/>
  <c r="H20" i="7" l="1"/>
  <c r="I20" i="7" s="1"/>
  <c r="F21" i="7" s="1"/>
  <c r="H38" i="9"/>
  <c r="I37" i="9"/>
  <c r="G21" i="7" l="1"/>
  <c r="H21" i="7" s="1"/>
  <c r="I21" i="7" s="1"/>
  <c r="F22" i="7" s="1"/>
  <c r="H39" i="9"/>
  <c r="I38" i="9"/>
  <c r="G22" i="7" l="1"/>
  <c r="H40" i="9"/>
  <c r="I39" i="9"/>
  <c r="H22" i="7" l="1"/>
  <c r="I22" i="7" s="1"/>
  <c r="H41" i="9"/>
  <c r="I40" i="9"/>
  <c r="G23" i="7" l="1"/>
  <c r="F23" i="7"/>
  <c r="H42" i="9"/>
  <c r="I41" i="9"/>
  <c r="H23" i="7" l="1"/>
  <c r="I23" i="7" s="1"/>
  <c r="F24" i="7" s="1"/>
  <c r="H43" i="9"/>
  <c r="I43" i="9" s="1"/>
  <c r="I42" i="9"/>
  <c r="G24" i="7" l="1"/>
  <c r="H24" i="7" s="1"/>
  <c r="I24" i="7" s="1"/>
  <c r="F25" i="7" s="1"/>
  <c r="G25" i="7" l="1"/>
  <c r="H25" i="7" l="1"/>
  <c r="I25" i="7" s="1"/>
  <c r="F26" i="7" s="1"/>
  <c r="G26" i="7" l="1"/>
  <c r="H26" i="7" l="1"/>
  <c r="I26" i="7" s="1"/>
  <c r="F27" i="7" s="1"/>
  <c r="G27" i="7" l="1"/>
  <c r="H27" i="7" s="1"/>
  <c r="I27" i="7" s="1"/>
  <c r="F28" i="7" s="1"/>
  <c r="G28" i="7" l="1"/>
  <c r="H28" i="7" l="1"/>
  <c r="I28" i="7" s="1"/>
  <c r="F29" i="7" s="1"/>
  <c r="G29" i="7" l="1"/>
  <c r="H29" i="7" s="1"/>
  <c r="I29" i="7" s="1"/>
  <c r="F30" i="7" s="1"/>
  <c r="G30" i="7" l="1"/>
  <c r="H30" i="7" l="1"/>
  <c r="I30" i="7" s="1"/>
  <c r="F31" i="7" s="1"/>
  <c r="G31" i="7" l="1"/>
  <c r="H31" i="7" s="1"/>
  <c r="I31" i="7" s="1"/>
  <c r="F32" i="7" s="1"/>
  <c r="G32" i="7" l="1"/>
  <c r="H32" i="7" l="1"/>
  <c r="I32" i="7" s="1"/>
  <c r="F33" i="7" s="1"/>
  <c r="G33" i="7" l="1"/>
  <c r="H33" i="7" l="1"/>
  <c r="I33" i="7" s="1"/>
  <c r="F34" i="7" s="1"/>
  <c r="G34" i="7" l="1"/>
  <c r="H34" i="7" s="1"/>
  <c r="I34" i="7" s="1"/>
  <c r="F35" i="7" s="1"/>
  <c r="G35" i="7" l="1"/>
  <c r="H35" i="7" l="1"/>
  <c r="I35" i="7" s="1"/>
  <c r="F36" i="7" s="1"/>
  <c r="G36" i="7" l="1"/>
  <c r="H36" i="7" s="1"/>
  <c r="I36" i="7" s="1"/>
  <c r="F37" i="7" s="1"/>
  <c r="G37" i="7" l="1"/>
  <c r="H37" i="7" l="1"/>
  <c r="I37" i="7" s="1"/>
  <c r="G38" i="7" l="1"/>
  <c r="F38" i="7"/>
  <c r="H38" i="7" l="1"/>
  <c r="I38" i="7" s="1"/>
  <c r="F39" i="7" s="1"/>
  <c r="G39" i="7" l="1"/>
  <c r="H39" i="7" s="1"/>
  <c r="I39" i="7" s="1"/>
  <c r="F40" i="7" s="1"/>
  <c r="G40" i="7" l="1"/>
  <c r="H40" i="7" s="1"/>
  <c r="I40" i="7" s="1"/>
  <c r="G41" i="7" l="1"/>
  <c r="F41" i="7"/>
  <c r="H41" i="7" l="1"/>
  <c r="I41" i="7" s="1"/>
  <c r="F42" i="7" s="1"/>
  <c r="G42" i="7" l="1"/>
  <c r="H42" i="7" s="1"/>
  <c r="I42" i="7" s="1"/>
  <c r="F43" i="7" s="1"/>
  <c r="G43" i="7" l="1"/>
  <c r="H43" i="7" s="1"/>
  <c r="I43" i="7" s="1"/>
  <c r="F44" i="7" s="1"/>
  <c r="G44" i="7" l="1"/>
  <c r="H44" i="7" l="1"/>
  <c r="I44" i="7" s="1"/>
  <c r="G45" i="7" l="1"/>
  <c r="F45" i="7"/>
  <c r="H45" i="7" l="1"/>
  <c r="I45" i="7" s="1"/>
  <c r="F46" i="7" s="1"/>
  <c r="G46" i="7" l="1"/>
  <c r="H46" i="7" s="1"/>
  <c r="I46" i="7" s="1"/>
  <c r="F47" i="7" s="1"/>
  <c r="G47" i="7" l="1"/>
  <c r="H47" i="7" l="1"/>
  <c r="I47" i="7" s="1"/>
  <c r="F48" i="7" s="1"/>
  <c r="G48" i="7" l="1"/>
  <c r="H48" i="7" s="1"/>
  <c r="I48" i="7" s="1"/>
  <c r="F49" i="7" s="1"/>
  <c r="G49" i="7" l="1"/>
  <c r="H49" i="7" s="1"/>
  <c r="I49" i="7" s="1"/>
  <c r="F50" i="7" s="1"/>
  <c r="G50" i="7" l="1"/>
  <c r="H50" i="7" s="1"/>
  <c r="I50" i="7" s="1"/>
  <c r="F51" i="7" s="1"/>
  <c r="G51" i="7" l="1"/>
  <c r="H51" i="7" l="1"/>
  <c r="I51" i="7" s="1"/>
  <c r="F52" i="7" s="1"/>
  <c r="G52" i="7" l="1"/>
  <c r="H52" i="7" s="1"/>
  <c r="I52" i="7" s="1"/>
  <c r="G53" i="7" l="1"/>
  <c r="F53" i="7"/>
  <c r="H53" i="7" l="1"/>
  <c r="I53" i="7" s="1"/>
  <c r="F54" i="7" s="1"/>
  <c r="G54" i="7" l="1"/>
  <c r="H54" i="7" s="1"/>
  <c r="I54" i="7" s="1"/>
  <c r="F55" i="7" s="1"/>
  <c r="G55" i="7" l="1"/>
  <c r="H55" i="7" s="1"/>
  <c r="I55" i="7" s="1"/>
  <c r="F56" i="7" s="1"/>
  <c r="G56" i="7" l="1"/>
  <c r="H56" i="7" l="1"/>
  <c r="I56" i="7" s="1"/>
  <c r="F57" i="7" s="1"/>
  <c r="G57" i="7" l="1"/>
  <c r="H57" i="7" l="1"/>
  <c r="I57" i="7" s="1"/>
  <c r="F58" i="7" s="1"/>
  <c r="G58" i="7" l="1"/>
  <c r="H58" i="7" l="1"/>
  <c r="I58" i="7" s="1"/>
  <c r="F59" i="7" s="1"/>
  <c r="G59" i="7" l="1"/>
  <c r="H59" i="7" l="1"/>
  <c r="I59" i="7" s="1"/>
  <c r="F60" i="7" s="1"/>
  <c r="G60" i="7" l="1"/>
  <c r="H60" i="7" s="1"/>
  <c r="I60" i="7" s="1"/>
  <c r="F61" i="7" s="1"/>
  <c r="G61" i="7" l="1"/>
  <c r="H61" i="7" l="1"/>
  <c r="I61" i="7" s="1"/>
  <c r="G62" i="7" l="1"/>
  <c r="F62" i="7"/>
  <c r="H62" i="7" l="1"/>
  <c r="I62" i="7" s="1"/>
  <c r="G63" i="7" s="1"/>
  <c r="F63" i="7" l="1"/>
  <c r="H63" i="7" s="1"/>
  <c r="I63" i="7" s="1"/>
  <c r="G64" i="7" s="1"/>
  <c r="F64" i="7" l="1"/>
  <c r="H64" i="7" s="1"/>
  <c r="I64" i="7" s="1"/>
  <c r="F65" i="7" s="1"/>
  <c r="G65" i="7" l="1"/>
  <c r="H65" i="7" s="1"/>
  <c r="I65" i="7" s="1"/>
  <c r="G66" i="7" l="1"/>
  <c r="F66" i="7"/>
  <c r="H66" i="7" l="1"/>
  <c r="I66" i="7" s="1"/>
  <c r="F67" i="7" s="1"/>
  <c r="G67" i="7" l="1"/>
  <c r="H67" i="7" s="1"/>
  <c r="I67" i="7" s="1"/>
  <c r="G68" i="7" s="1"/>
  <c r="F68" i="7" l="1"/>
  <c r="H68" i="7" s="1"/>
  <c r="I68" i="7" s="1"/>
  <c r="F69" i="7" s="1"/>
  <c r="G69" i="7" l="1"/>
  <c r="H69" i="7" s="1"/>
  <c r="I69" i="7" s="1"/>
  <c r="F70" i="7" s="1"/>
  <c r="G70" i="7" l="1"/>
  <c r="H70" i="7" s="1"/>
  <c r="I70" i="7" s="1"/>
  <c r="F71" i="7" s="1"/>
  <c r="G71" i="7" l="1"/>
  <c r="H71" i="7" l="1"/>
  <c r="I71" i="7" s="1"/>
  <c r="F72" i="7" s="1"/>
  <c r="G72" i="7" l="1"/>
  <c r="H72" i="7" l="1"/>
  <c r="I72" i="7" s="1"/>
  <c r="F73" i="7" s="1"/>
  <c r="G73" i="7" l="1"/>
  <c r="H73" i="7" l="1"/>
  <c r="I73" i="7" s="1"/>
  <c r="F74" i="7" s="1"/>
  <c r="G74" i="7" l="1"/>
  <c r="H74" i="7" l="1"/>
  <c r="I74" i="7" s="1"/>
  <c r="F75" i="7" s="1"/>
  <c r="G75" i="7" l="1"/>
  <c r="H75" i="7" s="1"/>
  <c r="I75" i="7" s="1"/>
  <c r="F76" i="7" s="1"/>
  <c r="G76" i="7" l="1"/>
  <c r="H76" i="7" l="1"/>
  <c r="I76" i="7" s="1"/>
  <c r="F77" i="7" s="1"/>
  <c r="G77" i="7" l="1"/>
  <c r="H77" i="7" s="1"/>
  <c r="I77" i="7" s="1"/>
  <c r="F78" i="7" s="1"/>
  <c r="G78" i="7" l="1"/>
  <c r="H78" i="7" l="1"/>
  <c r="I78" i="7" s="1"/>
  <c r="F79" i="7" s="1"/>
  <c r="G79" i="7" l="1"/>
  <c r="H79" i="7" l="1"/>
  <c r="I79" i="7" s="1"/>
  <c r="F80" i="7" s="1"/>
  <c r="G80" i="7" l="1"/>
  <c r="H80" i="7" l="1"/>
  <c r="I80" i="7" s="1"/>
  <c r="G81" i="7" l="1"/>
  <c r="F81" i="7"/>
  <c r="H81" i="7" l="1"/>
  <c r="I81" i="7" s="1"/>
  <c r="F82" i="7" s="1"/>
  <c r="G82" i="7" l="1"/>
  <c r="H82" i="7" s="1"/>
  <c r="I82" i="7" s="1"/>
  <c r="F83" i="7" s="1"/>
  <c r="G83" i="7" l="1"/>
  <c r="H83" i="7" l="1"/>
  <c r="I83" i="7" s="1"/>
  <c r="F84" i="7" s="1"/>
  <c r="G84" i="7" l="1"/>
  <c r="H84" i="7" s="1"/>
  <c r="I84" i="7" s="1"/>
  <c r="F85" i="7" s="1"/>
  <c r="G85" i="7" l="1"/>
  <c r="H85" i="7" l="1"/>
  <c r="I85" i="7" s="1"/>
  <c r="F86" i="7" s="1"/>
  <c r="G86" i="7" l="1"/>
  <c r="H86" i="7" s="1"/>
  <c r="I86" i="7" s="1"/>
  <c r="F87" i="7" s="1"/>
  <c r="G87" i="7" l="1"/>
  <c r="H87" i="7" l="1"/>
  <c r="I87" i="7" s="1"/>
  <c r="F88" i="7" s="1"/>
  <c r="G88" i="7" l="1"/>
  <c r="H88" i="7" l="1"/>
  <c r="I88" i="7" s="1"/>
  <c r="F89" i="7" s="1"/>
  <c r="G89" i="7" l="1"/>
  <c r="H89" i="7" s="1"/>
  <c r="I89" i="7" s="1"/>
  <c r="F90" i="7" s="1"/>
  <c r="G90" i="7" l="1"/>
  <c r="H90" i="7" l="1"/>
  <c r="I90" i="7" s="1"/>
  <c r="F91" i="7" s="1"/>
  <c r="G91" i="7" l="1"/>
  <c r="H91" i="7" s="1"/>
  <c r="I91" i="7" s="1"/>
  <c r="F92" i="7" s="1"/>
  <c r="G92" i="7" l="1"/>
  <c r="H92" i="7" s="1"/>
  <c r="I92" i="7" s="1"/>
  <c r="F93" i="7" s="1"/>
  <c r="G93" i="7" l="1"/>
  <c r="H93" i="7" l="1"/>
  <c r="I93" i="7" s="1"/>
  <c r="F94" i="7" s="1"/>
  <c r="G94" i="7" l="1"/>
  <c r="H94" i="7" s="1"/>
  <c r="I94" i="7" s="1"/>
  <c r="F95" i="7" s="1"/>
  <c r="G95" i="7" l="1"/>
  <c r="H95" i="7" l="1"/>
  <c r="I95" i="7" s="1"/>
  <c r="G96" i="7" l="1"/>
  <c r="F96" i="7"/>
  <c r="H96" i="7" l="1"/>
  <c r="I96" i="7" s="1"/>
  <c r="F97" i="7" s="1"/>
  <c r="G97" i="7" l="1"/>
  <c r="H97" i="7" s="1"/>
  <c r="I97" i="7" s="1"/>
  <c r="F98" i="7" s="1"/>
  <c r="G98" i="7" l="1"/>
  <c r="H98" i="7" s="1"/>
  <c r="I98" i="7" s="1"/>
  <c r="F99" i="7" s="1"/>
  <c r="G99" i="7" l="1"/>
  <c r="H99" i="7" s="1"/>
  <c r="I99" i="7" s="1"/>
  <c r="G100" i="7" l="1"/>
  <c r="F100" i="7"/>
  <c r="H100" i="7" l="1"/>
  <c r="I100" i="7" s="1"/>
  <c r="F101" i="7" s="1"/>
  <c r="G101" i="7" l="1"/>
  <c r="H101" i="7" s="1"/>
  <c r="I101" i="7" s="1"/>
  <c r="G102" i="7" s="1"/>
  <c r="F102" i="7" l="1"/>
  <c r="H102" i="7" s="1"/>
  <c r="I102" i="7" s="1"/>
  <c r="F103" i="7" s="1"/>
  <c r="G103" i="7" l="1"/>
  <c r="H103" i="7" s="1"/>
  <c r="I103" i="7" s="1"/>
  <c r="F104" i="7" s="1"/>
  <c r="G104" i="7" l="1"/>
  <c r="H104" i="7" s="1"/>
  <c r="I104" i="7" s="1"/>
  <c r="G105" i="7" l="1"/>
  <c r="F105" i="7"/>
  <c r="H105" i="7" l="1"/>
  <c r="I105" i="7" s="1"/>
  <c r="F106" i="7" s="1"/>
  <c r="G106" i="7" l="1"/>
  <c r="H106" i="7" s="1"/>
  <c r="I106" i="7" s="1"/>
  <c r="F107" i="7" s="1"/>
  <c r="G107" i="7" l="1"/>
  <c r="H107" i="7" s="1"/>
  <c r="I107" i="7" s="1"/>
  <c r="F108" i="7" s="1"/>
  <c r="G108" i="7" l="1"/>
  <c r="H108" i="7" l="1"/>
  <c r="I108" i="7" s="1"/>
  <c r="F109" i="7" s="1"/>
  <c r="G109" i="7" l="1"/>
  <c r="H109" i="7" l="1"/>
  <c r="I109" i="7" s="1"/>
  <c r="F110" i="7" s="1"/>
  <c r="G110" i="7" l="1"/>
  <c r="H110" i="7" l="1"/>
  <c r="I110" i="7" s="1"/>
  <c r="F111" i="7" s="1"/>
  <c r="G111" i="7" l="1"/>
  <c r="H111" i="7" s="1"/>
  <c r="I111" i="7" s="1"/>
  <c r="F112" i="7" s="1"/>
  <c r="G112" i="7" l="1"/>
  <c r="H112" i="7" l="1"/>
  <c r="I112" i="7" s="1"/>
  <c r="F113" i="7" s="1"/>
  <c r="G113" i="7" l="1"/>
  <c r="H113" i="7" l="1"/>
  <c r="I113" i="7" s="1"/>
  <c r="F114" i="7" s="1"/>
  <c r="G114" i="7" l="1"/>
  <c r="H114" i="7" l="1"/>
  <c r="I114" i="7" s="1"/>
  <c r="F115" i="7" s="1"/>
  <c r="G115" i="7" l="1"/>
  <c r="H115" i="7" l="1"/>
  <c r="I115" i="7" s="1"/>
  <c r="F116" i="7" s="1"/>
  <c r="G116" i="7" l="1"/>
  <c r="H116" i="7" s="1"/>
  <c r="I116" i="7" s="1"/>
  <c r="F117" i="7" s="1"/>
  <c r="G117" i="7" l="1"/>
  <c r="H117" i="7" l="1"/>
  <c r="I117" i="7" s="1"/>
  <c r="F118" i="7" s="1"/>
  <c r="G118" i="7" l="1"/>
  <c r="H118" i="7" l="1"/>
  <c r="I118" i="7" s="1"/>
  <c r="G119" i="7" l="1"/>
  <c r="F119" i="7"/>
  <c r="H119" i="7" l="1"/>
  <c r="I119" i="7" s="1"/>
  <c r="F120" i="7" s="1"/>
  <c r="G120" i="7" l="1"/>
  <c r="H120" i="7" s="1"/>
  <c r="I120" i="7" s="1"/>
  <c r="F121" i="7" s="1"/>
  <c r="G121" i="7" l="1"/>
  <c r="H121" i="7" s="1"/>
  <c r="I121" i="7" s="1"/>
  <c r="F122" i="7" s="1"/>
  <c r="G122" i="7" l="1"/>
  <c r="H122" i="7" s="1"/>
  <c r="I122" i="7" s="1"/>
  <c r="F123" i="7" s="1"/>
  <c r="G123" i="7" l="1"/>
  <c r="H123" i="7" l="1"/>
  <c r="I123" i="7" s="1"/>
  <c r="F124" i="7" s="1"/>
  <c r="G124" i="7" l="1"/>
  <c r="H124" i="7" s="1"/>
  <c r="I124" i="7" s="1"/>
  <c r="F125" i="7" s="1"/>
  <c r="G125" i="7" l="1"/>
  <c r="H125" i="7" l="1"/>
  <c r="I125" i="7" s="1"/>
  <c r="F126" i="7" s="1"/>
  <c r="G126" i="7" l="1"/>
  <c r="H126" i="7" l="1"/>
  <c r="I126" i="7" s="1"/>
  <c r="F127" i="7" s="1"/>
  <c r="G127" i="7" l="1"/>
  <c r="H127" i="7" s="1"/>
  <c r="I127" i="7" s="1"/>
  <c r="F128" i="7" s="1"/>
  <c r="G128" i="7" l="1"/>
  <c r="H128" i="7" l="1"/>
  <c r="I128" i="7" s="1"/>
  <c r="F129" i="7" s="1"/>
  <c r="G129" i="7" l="1"/>
  <c r="H129" i="7" s="1"/>
  <c r="I129" i="7" s="1"/>
  <c r="F130" i="7" s="1"/>
  <c r="G130" i="7" l="1"/>
  <c r="H130" i="7" l="1"/>
  <c r="I130" i="7" s="1"/>
  <c r="F131" i="7" s="1"/>
  <c r="G131" i="7" l="1"/>
  <c r="H131" i="7" l="1"/>
  <c r="I131" i="7" s="1"/>
  <c r="F132" i="7" s="1"/>
  <c r="G132" i="7" l="1"/>
  <c r="H132" i="7" s="1"/>
  <c r="I132" i="7" s="1"/>
  <c r="F133" i="7" s="1"/>
  <c r="G133" i="7" l="1"/>
  <c r="H133" i="7" l="1"/>
  <c r="I133" i="7" s="1"/>
  <c r="F134" i="7" s="1"/>
  <c r="G134" i="7" l="1"/>
  <c r="H134" i="7" l="1"/>
  <c r="I134" i="7" s="1"/>
  <c r="F135" i="7" s="1"/>
  <c r="G135" i="7" l="1"/>
  <c r="H135" i="7" l="1"/>
  <c r="I135" i="7" s="1"/>
  <c r="F136" i="7" s="1"/>
  <c r="G136" i="7" l="1"/>
  <c r="H136" i="7" l="1"/>
  <c r="I136" i="7" s="1"/>
  <c r="F137" i="7" s="1"/>
  <c r="G137" i="7" l="1"/>
  <c r="H137" i="7" s="1"/>
  <c r="I137" i="7" s="1"/>
  <c r="F138" i="7" s="1"/>
  <c r="G138" i="7" l="1"/>
  <c r="H138" i="7" s="1"/>
  <c r="I138" i="7" s="1"/>
  <c r="F139" i="7" s="1"/>
  <c r="G139" i="7" l="1"/>
  <c r="H139" i="7" l="1"/>
  <c r="I139" i="7" s="1"/>
  <c r="F140" i="7" s="1"/>
  <c r="G140" i="7" l="1"/>
  <c r="H140" i="7" s="1"/>
  <c r="I140" i="7" s="1"/>
  <c r="F141" i="7" s="1"/>
  <c r="G141" i="7" l="1"/>
  <c r="H141" i="7" s="1"/>
  <c r="I141" i="7" s="1"/>
  <c r="F142" i="7" s="1"/>
  <c r="G142" i="7" l="1"/>
  <c r="H142" i="7" l="1"/>
  <c r="I142" i="7" s="1"/>
  <c r="F143" i="7" s="1"/>
  <c r="G143" i="7" l="1"/>
  <c r="H143" i="7" l="1"/>
  <c r="I143" i="7" s="1"/>
  <c r="F144" i="7" s="1"/>
  <c r="G144" i="7" l="1"/>
  <c r="H144" i="7" l="1"/>
  <c r="I144" i="7" s="1"/>
  <c r="F145" i="7" s="1"/>
  <c r="G145" i="7" l="1"/>
  <c r="H145" i="7" l="1"/>
  <c r="I145" i="7" s="1"/>
  <c r="F146" i="7" s="1"/>
  <c r="G146" i="7" l="1"/>
  <c r="H146" i="7" l="1"/>
  <c r="I146" i="7" s="1"/>
  <c r="F147" i="7" s="1"/>
  <c r="G147" i="7" l="1"/>
  <c r="H147" i="7" l="1"/>
  <c r="I147" i="7" s="1"/>
  <c r="F148" i="7" s="1"/>
  <c r="G148" i="7" l="1"/>
  <c r="H148" i="7" l="1"/>
  <c r="I148" i="7" s="1"/>
  <c r="F149" i="7" s="1"/>
  <c r="G149" i="7" l="1"/>
  <c r="H149" i="7" l="1"/>
  <c r="I149" i="7" s="1"/>
  <c r="F150" i="7" s="1"/>
  <c r="G150" i="7" l="1"/>
  <c r="H150" i="7" s="1"/>
  <c r="I150" i="7" s="1"/>
  <c r="F151" i="7" s="1"/>
  <c r="G151" i="7" l="1"/>
  <c r="H151" i="7" l="1"/>
  <c r="I151" i="7" s="1"/>
  <c r="F152" i="7" s="1"/>
  <c r="G152" i="7" l="1"/>
  <c r="H152" i="7" l="1"/>
  <c r="I152" i="7" s="1"/>
  <c r="F153" i="7" s="1"/>
  <c r="G153" i="7" l="1"/>
  <c r="H153" i="7" l="1"/>
  <c r="I153" i="7" s="1"/>
  <c r="F154" i="7" s="1"/>
  <c r="G154" i="7" l="1"/>
  <c r="H154" i="7" l="1"/>
  <c r="I154" i="7" s="1"/>
  <c r="F155" i="7" s="1"/>
  <c r="G155" i="7" l="1"/>
  <c r="H155" i="7" l="1"/>
  <c r="I155" i="7" s="1"/>
  <c r="F156" i="7" s="1"/>
  <c r="G156" i="7" l="1"/>
  <c r="H156" i="7" s="1"/>
  <c r="I156" i="7" s="1"/>
  <c r="F157" i="7" s="1"/>
  <c r="G157" i="7" l="1"/>
  <c r="H157" i="7" l="1"/>
  <c r="I157" i="7" s="1"/>
  <c r="F158" i="7" s="1"/>
  <c r="G158" i="7" l="1"/>
  <c r="H158" i="7" l="1"/>
  <c r="I158" i="7" s="1"/>
  <c r="F159" i="7" s="1"/>
  <c r="G159" i="7" l="1"/>
  <c r="H159" i="7" l="1"/>
  <c r="I159" i="7" s="1"/>
  <c r="F160" i="7" s="1"/>
  <c r="G160" i="7" l="1"/>
  <c r="H160" i="7" l="1"/>
  <c r="I160" i="7" s="1"/>
  <c r="F161" i="7" s="1"/>
  <c r="G161" i="7" l="1"/>
  <c r="H161" i="7" l="1"/>
  <c r="I161" i="7" s="1"/>
  <c r="F162" i="7" s="1"/>
  <c r="G162" i="7" l="1"/>
  <c r="H162" i="7" l="1"/>
  <c r="I162" i="7" s="1"/>
  <c r="F163" i="7" s="1"/>
  <c r="G163" i="7" l="1"/>
  <c r="H163" i="7" l="1"/>
  <c r="I163" i="7" s="1"/>
  <c r="F164" i="7" s="1"/>
  <c r="G164" i="7" l="1"/>
  <c r="H164" i="7" l="1"/>
  <c r="I164" i="7" s="1"/>
  <c r="F165" i="7" s="1"/>
  <c r="G165" i="7" l="1"/>
  <c r="H165" i="7" l="1"/>
  <c r="I165" i="7" s="1"/>
  <c r="F166" i="7" s="1"/>
  <c r="G166" i="7" l="1"/>
  <c r="H166" i="7" l="1"/>
  <c r="I166" i="7" s="1"/>
  <c r="F167" i="7" s="1"/>
  <c r="G167" i="7" l="1"/>
  <c r="H167" i="7" l="1"/>
  <c r="I167" i="7" s="1"/>
  <c r="F168" i="7" s="1"/>
  <c r="G168" i="7" l="1"/>
  <c r="H168" i="7" l="1"/>
  <c r="I168" i="7" s="1"/>
  <c r="F169" i="7" s="1"/>
  <c r="G169" i="7" l="1"/>
  <c r="H169" i="7" l="1"/>
  <c r="I169" i="7" s="1"/>
  <c r="F170" i="7" s="1"/>
  <c r="G170" i="7" l="1"/>
  <c r="H170" i="7" l="1"/>
  <c r="I170" i="7" s="1"/>
  <c r="F171" i="7" s="1"/>
  <c r="G171" i="7" l="1"/>
  <c r="H171" i="7" l="1"/>
  <c r="I171" i="7" s="1"/>
  <c r="F172" i="7" s="1"/>
  <c r="G172" i="7" l="1"/>
  <c r="H172" i="7" l="1"/>
  <c r="I172" i="7" s="1"/>
  <c r="F173" i="7" s="1"/>
  <c r="G173" i="7" l="1"/>
  <c r="H173" i="7" l="1"/>
  <c r="I173" i="7" s="1"/>
  <c r="F174" i="7" s="1"/>
  <c r="G174" i="7" l="1"/>
  <c r="H174" i="7" l="1"/>
  <c r="I174" i="7" s="1"/>
  <c r="F175" i="7" s="1"/>
  <c r="G175" i="7" l="1"/>
  <c r="H175" i="7" l="1"/>
  <c r="I175" i="7" s="1"/>
  <c r="F176" i="7" s="1"/>
  <c r="G176" i="7" l="1"/>
  <c r="H176" i="7" l="1"/>
  <c r="I176" i="7" s="1"/>
  <c r="F177" i="7" s="1"/>
  <c r="G177" i="7" l="1"/>
  <c r="H177" i="7" l="1"/>
  <c r="I177" i="7" s="1"/>
  <c r="F178" i="7" s="1"/>
  <c r="G178" i="7" l="1"/>
  <c r="H178" i="7" l="1"/>
  <c r="I178" i="7" s="1"/>
  <c r="F179" i="7" s="1"/>
  <c r="G179" i="7" l="1"/>
  <c r="H179" i="7" s="1"/>
  <c r="I179" i="7" s="1"/>
  <c r="F180" i="7" s="1"/>
  <c r="G180" i="7" l="1"/>
  <c r="H180" i="7" l="1"/>
  <c r="I180" i="7" s="1"/>
  <c r="F181" i="7" s="1"/>
  <c r="G181" i="7" l="1"/>
  <c r="H181" i="7" s="1"/>
  <c r="I181" i="7" s="1"/>
  <c r="F182" i="7" s="1"/>
  <c r="G182" i="7" l="1"/>
  <c r="H182" i="7" l="1"/>
  <c r="I182" i="7" s="1"/>
  <c r="F183" i="7" s="1"/>
  <c r="G183" i="7" l="1"/>
  <c r="H183" i="7" l="1"/>
  <c r="I183" i="7" s="1"/>
  <c r="F184" i="7" s="1"/>
  <c r="G184" i="7" l="1"/>
  <c r="H184" i="7" l="1"/>
  <c r="I184" i="7" s="1"/>
  <c r="G185" i="7" l="1"/>
  <c r="F185" i="7"/>
  <c r="H185" i="7" l="1"/>
  <c r="I185" i="7" s="1"/>
  <c r="F186" i="7" s="1"/>
  <c r="G186" i="7" l="1"/>
  <c r="H186" i="7" s="1"/>
  <c r="I186" i="7" s="1"/>
  <c r="F187" i="7" s="1"/>
  <c r="G187" i="7" l="1"/>
  <c r="H187" i="7" s="1"/>
  <c r="I187" i="7" s="1"/>
  <c r="G188" i="7" l="1"/>
  <c r="F188" i="7"/>
  <c r="H188" i="7" l="1"/>
  <c r="I188" i="7" s="1"/>
  <c r="F189" i="7" s="1"/>
  <c r="G189" i="7" l="1"/>
  <c r="H189" i="7" s="1"/>
  <c r="I189" i="7" s="1"/>
  <c r="F190" i="7" s="1"/>
  <c r="G190" i="7" l="1"/>
  <c r="H190" i="7" s="1"/>
  <c r="I190" i="7" s="1"/>
  <c r="F191" i="7" s="1"/>
  <c r="G191" i="7" l="1"/>
  <c r="H191" i="7" l="1"/>
  <c r="I191" i="7" s="1"/>
  <c r="F192" i="7" s="1"/>
  <c r="G192" i="7" l="1"/>
  <c r="H192" i="7" l="1"/>
  <c r="I192" i="7" s="1"/>
  <c r="F193" i="7" s="1"/>
  <c r="G193" i="7" l="1"/>
  <c r="H193" i="7" l="1"/>
  <c r="I193" i="7" s="1"/>
  <c r="F194" i="7" s="1"/>
  <c r="G194" i="7" l="1"/>
  <c r="H194" i="7" l="1"/>
  <c r="I194" i="7" s="1"/>
  <c r="F195" i="7" s="1"/>
  <c r="G195" i="7" l="1"/>
  <c r="H195" i="7" l="1"/>
  <c r="I195" i="7" s="1"/>
  <c r="F196" i="7" s="1"/>
  <c r="G196" i="7" l="1"/>
  <c r="H196" i="7" l="1"/>
  <c r="I196" i="7" s="1"/>
  <c r="F197" i="7" s="1"/>
  <c r="G197" i="7" l="1"/>
  <c r="H197" i="7" l="1"/>
  <c r="I197" i="7" s="1"/>
  <c r="F198" i="7" s="1"/>
  <c r="G198" i="7" l="1"/>
  <c r="H198" i="7" l="1"/>
  <c r="I198" i="7" s="1"/>
  <c r="F199" i="7" s="1"/>
  <c r="G199" i="7" l="1"/>
  <c r="H199" i="7" l="1"/>
  <c r="I199" i="7" s="1"/>
  <c r="F200" i="7" s="1"/>
  <c r="G200" i="7" l="1"/>
  <c r="H200" i="7" s="1"/>
  <c r="I200" i="7" s="1"/>
  <c r="F201" i="7" s="1"/>
  <c r="G201" i="7" l="1"/>
  <c r="H201" i="7" l="1"/>
  <c r="I201" i="7" s="1"/>
  <c r="F202" i="7" s="1"/>
  <c r="G202" i="7" l="1"/>
  <c r="H202" i="7" l="1"/>
  <c r="I202" i="7" s="1"/>
  <c r="F203" i="7" s="1"/>
  <c r="G203" i="7" l="1"/>
  <c r="H203" i="7" l="1"/>
  <c r="I203" i="7" s="1"/>
  <c r="F204" i="7" s="1"/>
  <c r="G204" i="7" l="1"/>
  <c r="H204" i="7" l="1"/>
  <c r="I204" i="7" s="1"/>
  <c r="F205" i="7" s="1"/>
  <c r="G205" i="7" l="1"/>
  <c r="H205" i="7" l="1"/>
  <c r="I205" i="7" s="1"/>
  <c r="F206" i="7" s="1"/>
  <c r="G206" i="7" l="1"/>
  <c r="H206" i="7" l="1"/>
  <c r="I206" i="7" s="1"/>
  <c r="F207" i="7" s="1"/>
  <c r="G207" i="7" l="1"/>
  <c r="H207" i="7" s="1"/>
  <c r="I207" i="7" s="1"/>
  <c r="F208" i="7" s="1"/>
  <c r="G208" i="7" l="1"/>
  <c r="H208" i="7" l="1"/>
  <c r="I208" i="7" s="1"/>
  <c r="F209" i="7" s="1"/>
  <c r="G209" i="7" l="1"/>
  <c r="H209" i="7" l="1"/>
  <c r="I209" i="7" s="1"/>
  <c r="F210" i="7" s="1"/>
  <c r="G210" i="7" l="1"/>
  <c r="H210" i="7" l="1"/>
  <c r="I210" i="7" s="1"/>
  <c r="F211" i="7" s="1"/>
  <c r="G211" i="7" l="1"/>
  <c r="H211" i="7" l="1"/>
  <c r="I211" i="7" s="1"/>
  <c r="F212" i="7" s="1"/>
  <c r="G212" i="7" l="1"/>
  <c r="H212" i="7" l="1"/>
  <c r="I212" i="7" s="1"/>
  <c r="F213" i="7" s="1"/>
  <c r="G213" i="7" l="1"/>
  <c r="H213" i="7" s="1"/>
  <c r="I213" i="7" s="1"/>
  <c r="F214" i="7" s="1"/>
  <c r="G214" i="7" l="1"/>
  <c r="H214" i="7" l="1"/>
  <c r="I214" i="7" s="1"/>
  <c r="F215" i="7" s="1"/>
  <c r="G215" i="7" l="1"/>
  <c r="H215" i="7" l="1"/>
  <c r="I215" i="7" s="1"/>
  <c r="F216" i="7" s="1"/>
  <c r="G216" i="7" l="1"/>
  <c r="H216" i="7" l="1"/>
  <c r="I216" i="7" s="1"/>
  <c r="F217" i="7" s="1"/>
  <c r="G217" i="7" l="1"/>
  <c r="H217" i="7" l="1"/>
  <c r="I217" i="7" s="1"/>
  <c r="F218" i="7" s="1"/>
  <c r="G218" i="7" l="1"/>
  <c r="H218" i="7" s="1"/>
  <c r="I218" i="7" s="1"/>
  <c r="F219" i="7" s="1"/>
  <c r="G219" i="7" l="1"/>
  <c r="H219" i="7" l="1"/>
  <c r="I219" i="7" s="1"/>
  <c r="F220" i="7" s="1"/>
  <c r="G220" i="7" l="1"/>
  <c r="H220" i="7" l="1"/>
  <c r="I220" i="7" s="1"/>
  <c r="F221" i="7" s="1"/>
  <c r="G221" i="7" l="1"/>
  <c r="H221" i="7" s="1"/>
  <c r="I221" i="7" s="1"/>
  <c r="F222" i="7" s="1"/>
  <c r="G222" i="7" l="1"/>
  <c r="H222" i="7" l="1"/>
  <c r="I222" i="7" s="1"/>
  <c r="F223" i="7" s="1"/>
  <c r="G223" i="7" l="1"/>
  <c r="H223" i="7" s="1"/>
  <c r="I223" i="7" s="1"/>
  <c r="F224" i="7" s="1"/>
  <c r="G224" i="7" l="1"/>
  <c r="H224" i="7"/>
  <c r="I224" i="7" s="1"/>
  <c r="F225" i="7" s="1"/>
  <c r="G225" i="7" l="1"/>
  <c r="H225" i="7" l="1"/>
  <c r="I225" i="7" s="1"/>
  <c r="F226" i="7" s="1"/>
  <c r="G226" i="7" l="1"/>
  <c r="H226" i="7" l="1"/>
  <c r="I226" i="7" s="1"/>
  <c r="F227" i="7" s="1"/>
  <c r="G227" i="7" l="1"/>
  <c r="H227" i="7" s="1"/>
  <c r="I227" i="7" s="1"/>
  <c r="F228" i="7" s="1"/>
  <c r="G228" i="7" l="1"/>
  <c r="H228" i="7" l="1"/>
  <c r="I228" i="7" s="1"/>
  <c r="F229" i="7" s="1"/>
  <c r="G229" i="7" l="1"/>
  <c r="H229" i="7" l="1"/>
  <c r="I229" i="7" s="1"/>
  <c r="F230" i="7" s="1"/>
  <c r="G230" i="7" l="1"/>
  <c r="H230" i="7" l="1"/>
  <c r="I230" i="7" s="1"/>
  <c r="F231" i="7" s="1"/>
  <c r="G231" i="7" l="1"/>
  <c r="H231" i="7" l="1"/>
  <c r="I231" i="7" s="1"/>
  <c r="F232" i="7" s="1"/>
  <c r="G232" i="7" l="1"/>
  <c r="H232" i="7" l="1"/>
  <c r="I232" i="7" s="1"/>
  <c r="F233" i="7" s="1"/>
  <c r="G233" i="7" l="1"/>
  <c r="H233" i="7" l="1"/>
  <c r="I233" i="7" s="1"/>
  <c r="F234" i="7" s="1"/>
  <c r="G234" i="7" l="1"/>
  <c r="H234" i="7" l="1"/>
  <c r="I234" i="7" s="1"/>
  <c r="F235" i="7" s="1"/>
  <c r="G235" i="7" l="1"/>
  <c r="H235" i="7" s="1"/>
  <c r="I235" i="7" s="1"/>
  <c r="F236" i="7" s="1"/>
  <c r="G236" i="7" l="1"/>
  <c r="H236" i="7" l="1"/>
  <c r="I236" i="7" s="1"/>
  <c r="F237" i="7" s="1"/>
  <c r="G237" i="7" l="1"/>
  <c r="H237" i="7" l="1"/>
  <c r="I237" i="7" s="1"/>
  <c r="F238" i="7" s="1"/>
  <c r="G238" i="7" l="1"/>
  <c r="H238" i="7" l="1"/>
  <c r="I238" i="7" s="1"/>
  <c r="F239" i="7" s="1"/>
  <c r="G239" i="7" l="1"/>
  <c r="H239" i="7" l="1"/>
  <c r="I239" i="7" s="1"/>
  <c r="F240" i="7" s="1"/>
  <c r="G240" i="7" l="1"/>
  <c r="H240" i="7" l="1"/>
  <c r="I240" i="7" s="1"/>
  <c r="F241" i="7" s="1"/>
  <c r="G241" i="7" l="1"/>
  <c r="H241" i="7" l="1"/>
  <c r="I241" i="7" s="1"/>
  <c r="F242" i="7" s="1"/>
  <c r="G242" i="7" l="1"/>
  <c r="H242" i="7" l="1"/>
  <c r="I242" i="7" s="1"/>
  <c r="F243" i="7" s="1"/>
  <c r="G243" i="7" l="1"/>
  <c r="H243" i="7" l="1"/>
  <c r="I243" i="7" s="1"/>
  <c r="F244" i="7" s="1"/>
  <c r="G244" i="7" l="1"/>
  <c r="H244" i="7" l="1"/>
  <c r="I244" i="7" s="1"/>
  <c r="F245" i="7" s="1"/>
  <c r="G245" i="7" l="1"/>
  <c r="H245" i="7" l="1"/>
  <c r="I245" i="7" s="1"/>
  <c r="F246" i="7" s="1"/>
  <c r="G246" i="7" l="1"/>
  <c r="H246" i="7" l="1"/>
  <c r="I246" i="7" s="1"/>
  <c r="F247" i="7" s="1"/>
  <c r="G247" i="7" l="1"/>
  <c r="H247" i="7" l="1"/>
  <c r="I247" i="7" s="1"/>
  <c r="G248" i="7" l="1"/>
  <c r="F248" i="7"/>
  <c r="H248" i="7" s="1"/>
  <c r="I248" i="7" s="1"/>
  <c r="F249" i="7" s="1"/>
  <c r="G249" i="7" l="1"/>
  <c r="H249" i="7" s="1"/>
  <c r="I249" i="7" s="1"/>
  <c r="F250" i="7" s="1"/>
  <c r="G250" i="7" l="1"/>
  <c r="H250" i="7" l="1"/>
  <c r="I250" i="7" s="1"/>
  <c r="F251" i="7" s="1"/>
  <c r="G251" i="7" l="1"/>
  <c r="H251" i="7" l="1"/>
  <c r="I251" i="7" s="1"/>
  <c r="F252" i="7" s="1"/>
  <c r="G252" i="7" l="1"/>
  <c r="H252" i="7" l="1"/>
  <c r="I252" i="7" s="1"/>
  <c r="F253" i="7" s="1"/>
  <c r="G253" i="7" l="1"/>
  <c r="H253" i="7" l="1"/>
  <c r="I253" i="7" s="1"/>
  <c r="F254" i="7" s="1"/>
  <c r="G254" i="7" l="1"/>
  <c r="H254" i="7" l="1"/>
  <c r="I254" i="7" s="1"/>
  <c r="F255" i="7" s="1"/>
  <c r="G255" i="7" l="1"/>
  <c r="H255" i="7" l="1"/>
  <c r="I255" i="7" s="1"/>
  <c r="F256" i="7" s="1"/>
  <c r="G256" i="7" l="1"/>
  <c r="H256" i="7" l="1"/>
  <c r="I256" i="7" s="1"/>
  <c r="F257" i="7" s="1"/>
  <c r="G257" i="7" l="1"/>
  <c r="H257" i="7" s="1"/>
  <c r="I257" i="7" s="1"/>
  <c r="F258" i="7" s="1"/>
  <c r="G258" i="7" l="1"/>
  <c r="H258" i="7" l="1"/>
  <c r="I258" i="7" s="1"/>
  <c r="F259" i="7" s="1"/>
  <c r="G259" i="7" l="1"/>
  <c r="H259" i="7" l="1"/>
  <c r="I259" i="7" s="1"/>
  <c r="F260" i="7" s="1"/>
  <c r="G260" i="7" l="1"/>
  <c r="H260" i="7" l="1"/>
  <c r="I260" i="7" s="1"/>
  <c r="F261" i="7" s="1"/>
  <c r="G261" i="7" l="1"/>
  <c r="H261" i="7" l="1"/>
  <c r="I261" i="7" s="1"/>
  <c r="F262" i="7" s="1"/>
  <c r="G262" i="7" l="1"/>
  <c r="H262" i="7" l="1"/>
  <c r="I262" i="7" s="1"/>
  <c r="F263" i="7" s="1"/>
  <c r="G263" i="7" l="1"/>
  <c r="H263" i="7" l="1"/>
  <c r="I263" i="7" s="1"/>
  <c r="F264" i="7" s="1"/>
  <c r="G264" i="7" l="1"/>
  <c r="H264" i="7" l="1"/>
  <c r="I264" i="7" s="1"/>
  <c r="F265" i="7" s="1"/>
  <c r="G265" i="7" l="1"/>
  <c r="H265" i="7" l="1"/>
  <c r="I265" i="7" s="1"/>
  <c r="F266" i="7" s="1"/>
  <c r="G266" i="7" l="1"/>
  <c r="H266" i="7" l="1"/>
  <c r="I266" i="7" s="1"/>
  <c r="F267" i="7" s="1"/>
  <c r="G267" i="7" l="1"/>
  <c r="H267" i="7" l="1"/>
  <c r="I267" i="7" s="1"/>
  <c r="F268" i="7" s="1"/>
  <c r="G268" i="7" l="1"/>
  <c r="H268" i="7" l="1"/>
  <c r="I268" i="7" s="1"/>
  <c r="F269" i="7" s="1"/>
  <c r="G269" i="7" l="1"/>
  <c r="H269" i="7" l="1"/>
  <c r="I269" i="7" s="1"/>
  <c r="F270" i="7" s="1"/>
  <c r="G270" i="7" l="1"/>
  <c r="H270" i="7" s="1"/>
  <c r="I270" i="7" s="1"/>
  <c r="F271" i="7" s="1"/>
  <c r="G271" i="7" l="1"/>
  <c r="H271" i="7" l="1"/>
  <c r="I271" i="7" s="1"/>
  <c r="F272" i="7" s="1"/>
  <c r="G272" i="7" l="1"/>
  <c r="H272" i="7" l="1"/>
  <c r="I272" i="7" s="1"/>
  <c r="F273" i="7" s="1"/>
  <c r="G273" i="7" l="1"/>
  <c r="H273" i="7" s="1"/>
  <c r="I273" i="7" s="1"/>
  <c r="F274" i="7" s="1"/>
  <c r="G274" i="7" l="1"/>
  <c r="H274" i="7" l="1"/>
  <c r="I274" i="7" s="1"/>
  <c r="F275" i="7" s="1"/>
  <c r="G275" i="7" l="1"/>
  <c r="H275" i="7" l="1"/>
  <c r="I275" i="7" s="1"/>
  <c r="F276" i="7" s="1"/>
  <c r="G276" i="7" l="1"/>
  <c r="H276" i="7" l="1"/>
  <c r="I276" i="7" s="1"/>
  <c r="F277" i="7" s="1"/>
  <c r="G277" i="7" l="1"/>
  <c r="H277" i="7" l="1"/>
  <c r="I277" i="7" s="1"/>
  <c r="F278" i="7" s="1"/>
  <c r="G278" i="7" l="1"/>
  <c r="H278" i="7" l="1"/>
  <c r="I278" i="7" s="1"/>
  <c r="F279" i="7" s="1"/>
  <c r="G279" i="7" l="1"/>
  <c r="H279" i="7" l="1"/>
  <c r="I279" i="7" s="1"/>
  <c r="F280" i="7" s="1"/>
  <c r="G280" i="7" l="1"/>
  <c r="H280" i="7" l="1"/>
  <c r="I280" i="7" s="1"/>
  <c r="F281" i="7" s="1"/>
  <c r="G281" i="7" l="1"/>
  <c r="H281" i="7" l="1"/>
  <c r="I281" i="7" s="1"/>
  <c r="F282" i="7" s="1"/>
  <c r="G282" i="7" l="1"/>
  <c r="H282" i="7" l="1"/>
  <c r="I282" i="7" s="1"/>
  <c r="F283" i="7" s="1"/>
  <c r="G283" i="7" l="1"/>
  <c r="H283" i="7" s="1"/>
  <c r="I283" i="7" s="1"/>
  <c r="F284" i="7" s="1"/>
  <c r="G284" i="7" l="1"/>
  <c r="H284" i="7" l="1"/>
  <c r="I284" i="7" s="1"/>
  <c r="F285" i="7" s="1"/>
  <c r="G285" i="7" l="1"/>
  <c r="H285" i="7" l="1"/>
  <c r="I285" i="7" s="1"/>
  <c r="F286" i="7" s="1"/>
  <c r="G286" i="7" l="1"/>
  <c r="H286" i="7" l="1"/>
  <c r="I286" i="7" s="1"/>
  <c r="F287" i="7" s="1"/>
  <c r="G287" i="7" l="1"/>
  <c r="H287" i="7" l="1"/>
  <c r="I287" i="7" s="1"/>
  <c r="F288" i="7" s="1"/>
  <c r="G288" i="7" l="1"/>
  <c r="H288" i="7" l="1"/>
  <c r="I288" i="7" s="1"/>
  <c r="F289" i="7" s="1"/>
  <c r="G289" i="7" l="1"/>
  <c r="H289" i="7" l="1"/>
  <c r="I289" i="7" s="1"/>
  <c r="F290" i="7" s="1"/>
  <c r="G290" i="7" l="1"/>
  <c r="H290" i="7" l="1"/>
  <c r="I290" i="7" s="1"/>
  <c r="F291" i="7" s="1"/>
  <c r="G291" i="7" l="1"/>
  <c r="H291" i="7" s="1"/>
  <c r="I291" i="7" s="1"/>
  <c r="F292" i="7" s="1"/>
  <c r="G292" i="7" l="1"/>
  <c r="H292" i="7" l="1"/>
  <c r="I292" i="7" s="1"/>
  <c r="F293" i="7" s="1"/>
  <c r="G293" i="7" l="1"/>
  <c r="H293" i="7" l="1"/>
  <c r="I293" i="7" s="1"/>
  <c r="F294" i="7" s="1"/>
  <c r="G294" i="7" l="1"/>
  <c r="H294" i="7" s="1"/>
  <c r="I294" i="7" s="1"/>
  <c r="F295" i="7" s="1"/>
  <c r="G295" i="7" l="1"/>
  <c r="H295" i="7" l="1"/>
  <c r="I295" i="7" s="1"/>
  <c r="F296" i="7" s="1"/>
  <c r="G296" i="7" l="1"/>
  <c r="H296" i="7" l="1"/>
  <c r="I296" i="7" s="1"/>
  <c r="F297" i="7" s="1"/>
  <c r="G297" i="7" l="1"/>
  <c r="H297" i="7" s="1"/>
  <c r="I297" i="7" s="1"/>
  <c r="F298" i="7" s="1"/>
  <c r="G298" i="7" l="1"/>
  <c r="H298" i="7" l="1"/>
  <c r="I298" i="7" s="1"/>
  <c r="F299" i="7" s="1"/>
  <c r="G299" i="7" l="1"/>
  <c r="H299" i="7" l="1"/>
  <c r="I299" i="7" s="1"/>
  <c r="F300" i="7" s="1"/>
  <c r="G300" i="7" l="1"/>
  <c r="H300" i="7" l="1"/>
  <c r="I300" i="7" s="1"/>
  <c r="F301" i="7" s="1"/>
  <c r="G301" i="7" l="1"/>
  <c r="H301" i="7" l="1"/>
  <c r="I301" i="7" s="1"/>
  <c r="F302" i="7" s="1"/>
  <c r="G302" i="7" l="1"/>
  <c r="H302" i="7" l="1"/>
  <c r="I302" i="7" s="1"/>
  <c r="F303" i="7" s="1"/>
  <c r="G303" i="7" l="1"/>
  <c r="H303" i="7" l="1"/>
  <c r="I303" i="7" s="1"/>
  <c r="F304" i="7" s="1"/>
  <c r="G304" i="7" l="1"/>
  <c r="H304" i="7" s="1"/>
  <c r="I304" i="7" s="1"/>
  <c r="F305" i="7" s="1"/>
  <c r="G305" i="7" l="1"/>
  <c r="H305" i="7" l="1"/>
  <c r="I305" i="7" s="1"/>
  <c r="F306" i="7" s="1"/>
  <c r="G306" i="7" l="1"/>
  <c r="H306" i="7" s="1"/>
  <c r="I306" i="7" s="1"/>
  <c r="F307" i="7" s="1"/>
  <c r="G307" i="7" l="1"/>
  <c r="H307" i="7" l="1"/>
  <c r="I307" i="7" s="1"/>
  <c r="F308" i="7" s="1"/>
  <c r="G308" i="7" l="1"/>
  <c r="H308" i="7" l="1"/>
  <c r="I308" i="7" s="1"/>
  <c r="F309" i="7" s="1"/>
  <c r="G309" i="7" l="1"/>
  <c r="H309" i="7" l="1"/>
  <c r="I309" i="7" s="1"/>
  <c r="F310" i="7" s="1"/>
  <c r="G310" i="7" l="1"/>
  <c r="H310" i="7" l="1"/>
  <c r="I310" i="7" s="1"/>
  <c r="F311" i="7" s="1"/>
  <c r="G311" i="7" l="1"/>
  <c r="H311" i="7" l="1"/>
  <c r="I311" i="7" s="1"/>
  <c r="F312" i="7" s="1"/>
  <c r="G312" i="7" l="1"/>
  <c r="H312" i="7" l="1"/>
  <c r="I312" i="7" s="1"/>
  <c r="F313" i="7" s="1"/>
  <c r="G313" i="7" l="1"/>
  <c r="H313" i="7" l="1"/>
  <c r="I313" i="7" s="1"/>
  <c r="F314" i="7" s="1"/>
  <c r="G314" i="7" l="1"/>
  <c r="H314" i="7" l="1"/>
  <c r="I314" i="7" s="1"/>
  <c r="F315" i="7" s="1"/>
  <c r="G315" i="7" l="1"/>
  <c r="H315" i="7" l="1"/>
  <c r="I315" i="7" s="1"/>
  <c r="F316" i="7" s="1"/>
  <c r="G316" i="7" l="1"/>
  <c r="H316" i="7" l="1"/>
  <c r="I316" i="7" s="1"/>
  <c r="F317" i="7" s="1"/>
  <c r="G317" i="7" l="1"/>
  <c r="H317" i="7" l="1"/>
  <c r="I317" i="7" s="1"/>
  <c r="F318" i="7" s="1"/>
  <c r="G318" i="7" l="1"/>
  <c r="H318" i="7" l="1"/>
  <c r="I318" i="7" s="1"/>
  <c r="F319" i="7" s="1"/>
  <c r="G319" i="7" l="1"/>
  <c r="H319" i="7" s="1"/>
  <c r="I319" i="7" s="1"/>
  <c r="F320" i="7" s="1"/>
  <c r="G320" i="7" l="1"/>
  <c r="H320" i="7" l="1"/>
  <c r="I320" i="7" s="1"/>
  <c r="F321" i="7" s="1"/>
  <c r="G321" i="7" l="1"/>
  <c r="H321" i="7" s="1"/>
  <c r="I321" i="7" s="1"/>
  <c r="F322" i="7" s="1"/>
  <c r="G322" i="7" l="1"/>
  <c r="H322" i="7" l="1"/>
  <c r="I322" i="7" s="1"/>
  <c r="F323" i="7" s="1"/>
  <c r="G323" i="7" l="1"/>
  <c r="H323" i="7" l="1"/>
  <c r="I323" i="7" s="1"/>
  <c r="F324" i="7" s="1"/>
  <c r="G324" i="7" l="1"/>
  <c r="H324" i="7" l="1"/>
  <c r="I324" i="7" s="1"/>
  <c r="F325" i="7" s="1"/>
  <c r="G325" i="7" l="1"/>
  <c r="H325" i="7" l="1"/>
  <c r="I325" i="7" s="1"/>
  <c r="F326" i="7" s="1"/>
  <c r="G326" i="7" l="1"/>
  <c r="H326" i="7" l="1"/>
  <c r="I326" i="7" s="1"/>
  <c r="F327" i="7" s="1"/>
  <c r="G327" i="7" l="1"/>
  <c r="H327" i="7" l="1"/>
  <c r="I327" i="7" s="1"/>
  <c r="F328" i="7" s="1"/>
  <c r="G328" i="7" l="1"/>
  <c r="H328" i="7" l="1"/>
  <c r="I328" i="7" s="1"/>
  <c r="F329" i="7" s="1"/>
  <c r="G329" i="7" l="1"/>
  <c r="H329" i="7" l="1"/>
  <c r="I329" i="7" s="1"/>
  <c r="G330" i="7" l="1"/>
  <c r="F330" i="7"/>
  <c r="H330" i="7" s="1"/>
  <c r="I330" i="7" s="1"/>
  <c r="F331" i="7" s="1"/>
  <c r="G331" i="7" l="1"/>
  <c r="H331" i="7" l="1"/>
  <c r="I331" i="7" s="1"/>
  <c r="F332" i="7" s="1"/>
  <c r="G332" i="7" l="1"/>
  <c r="H332" i="7" l="1"/>
  <c r="I332" i="7" s="1"/>
  <c r="F333" i="7" s="1"/>
  <c r="G333" i="7" l="1"/>
  <c r="H333" i="7" l="1"/>
  <c r="I333" i="7" s="1"/>
  <c r="F334" i="7" s="1"/>
  <c r="G334" i="7" l="1"/>
  <c r="H334" i="7" l="1"/>
  <c r="I334" i="7" s="1"/>
  <c r="F335" i="7" s="1"/>
  <c r="G335" i="7" l="1"/>
  <c r="H335" i="7" l="1"/>
  <c r="I335" i="7" s="1"/>
  <c r="F336" i="7" s="1"/>
  <c r="G336" i="7" l="1"/>
  <c r="H336" i="7" l="1"/>
  <c r="I336" i="7" s="1"/>
  <c r="F337" i="7" s="1"/>
  <c r="G337" i="7" l="1"/>
  <c r="H337" i="7" s="1"/>
  <c r="I337" i="7" s="1"/>
  <c r="F338" i="7" s="1"/>
  <c r="G338" i="7" l="1"/>
  <c r="H338" i="7" s="1"/>
  <c r="I338" i="7" s="1"/>
  <c r="F339" i="7" s="1"/>
  <c r="G339" i="7" l="1"/>
  <c r="H339" i="7" l="1"/>
  <c r="I339" i="7" s="1"/>
  <c r="F340" i="7" s="1"/>
  <c r="G340" i="7" l="1"/>
  <c r="H340" i="7" l="1"/>
  <c r="I340" i="7" s="1"/>
  <c r="F341" i="7" s="1"/>
  <c r="G341" i="7" l="1"/>
  <c r="H341" i="7" s="1"/>
  <c r="I341" i="7" s="1"/>
  <c r="F342" i="7" s="1"/>
  <c r="G342" i="7" l="1"/>
  <c r="H342" i="7" l="1"/>
  <c r="I342" i="7" s="1"/>
  <c r="G343" i="7" l="1"/>
  <c r="F343" i="7"/>
  <c r="H343" i="7" s="1"/>
  <c r="I343" i="7" s="1"/>
  <c r="F344" i="7" s="1"/>
  <c r="G344" i="7" l="1"/>
  <c r="H344" i="7" s="1"/>
  <c r="I344" i="7" s="1"/>
  <c r="F345" i="7" s="1"/>
  <c r="G345" i="7" l="1"/>
  <c r="H345" i="7" l="1"/>
  <c r="I345" i="7" s="1"/>
  <c r="F346" i="7" s="1"/>
  <c r="G346" i="7" l="1"/>
  <c r="H346" i="7" l="1"/>
  <c r="I346" i="7" s="1"/>
  <c r="F347" i="7" s="1"/>
  <c r="G347" i="7" l="1"/>
  <c r="H347" i="7" s="1"/>
  <c r="I347" i="7" s="1"/>
  <c r="F348" i="7" s="1"/>
  <c r="G348" i="7" l="1"/>
  <c r="H348" i="7" l="1"/>
  <c r="I348" i="7" s="1"/>
  <c r="F349" i="7" s="1"/>
  <c r="G349" i="7" l="1"/>
  <c r="H349" i="7" l="1"/>
  <c r="I349" i="7" s="1"/>
  <c r="F350" i="7" s="1"/>
  <c r="G350" i="7" l="1"/>
  <c r="H350" i="7" l="1"/>
  <c r="I350" i="7" s="1"/>
  <c r="F351" i="7" s="1"/>
  <c r="G351" i="7" l="1"/>
  <c r="H351" i="7" l="1"/>
  <c r="I351" i="7" s="1"/>
  <c r="G352" i="7" l="1"/>
  <c r="F352" i="7"/>
  <c r="H352" i="7" l="1"/>
  <c r="I352" i="7" s="1"/>
  <c r="F353" i="7" s="1"/>
  <c r="G353" i="7" l="1"/>
  <c r="H353" i="7" s="1"/>
  <c r="I353" i="7" s="1"/>
  <c r="F354" i="7" s="1"/>
  <c r="G354" i="7" l="1"/>
  <c r="H354" i="7" s="1"/>
  <c r="I354" i="7" s="1"/>
  <c r="G355" i="7" l="1"/>
  <c r="F355" i="7"/>
  <c r="H355" i="7" l="1"/>
  <c r="I355" i="7" s="1"/>
  <c r="G356" i="7" s="1"/>
  <c r="F356" i="7" l="1"/>
  <c r="H356" i="7" s="1"/>
  <c r="I356" i="7" s="1"/>
  <c r="F357" i="7" s="1"/>
  <c r="G357" i="7" l="1"/>
  <c r="H357" i="7" s="1"/>
  <c r="I357" i="7" s="1"/>
  <c r="F358" i="7" s="1"/>
  <c r="G358" i="7" l="1"/>
  <c r="H358" i="7" s="1"/>
  <c r="I358" i="7" s="1"/>
  <c r="F359" i="7" s="1"/>
  <c r="G359" i="7" l="1"/>
  <c r="H359" i="7" l="1"/>
  <c r="I359" i="7" s="1"/>
  <c r="F360" i="7" s="1"/>
  <c r="G360" i="7" l="1"/>
  <c r="H360" i="7" l="1"/>
  <c r="I360" i="7" s="1"/>
  <c r="F361" i="7" s="1"/>
  <c r="G361" i="7" l="1"/>
  <c r="H361" i="7" l="1"/>
  <c r="I361" i="7" s="1"/>
  <c r="F362" i="7" s="1"/>
  <c r="G362" i="7" l="1"/>
  <c r="H362" i="7" l="1"/>
  <c r="I362" i="7" s="1"/>
  <c r="F363" i="7" s="1"/>
  <c r="G363" i="7" l="1"/>
  <c r="H363" i="7" l="1"/>
  <c r="I363" i="7" s="1"/>
  <c r="G364" i="7" l="1"/>
  <c r="F364" i="7"/>
  <c r="H364" i="7" l="1"/>
  <c r="I364" i="7" s="1"/>
  <c r="G365" i="7" s="1"/>
  <c r="F365" i="7" l="1"/>
  <c r="H365" i="7" s="1"/>
  <c r="I365" i="7" s="1"/>
  <c r="F366" i="7" s="1"/>
  <c r="G366" i="7" l="1"/>
  <c r="H366" i="7" s="1"/>
  <c r="I366" i="7" s="1"/>
  <c r="F367" i="7" s="1"/>
  <c r="G367" i="7" l="1"/>
  <c r="H367" i="7" s="1"/>
  <c r="I367" i="7" s="1"/>
  <c r="F368" i="7" s="1"/>
  <c r="G368" i="7" l="1"/>
  <c r="H368" i="7" l="1"/>
  <c r="I368" i="7" s="1"/>
  <c r="F369" i="7" s="1"/>
  <c r="G369" i="7" l="1"/>
  <c r="H369" i="7" s="1"/>
  <c r="I369" i="7" s="1"/>
  <c r="F370" i="7" s="1"/>
  <c r="G370" i="7" l="1"/>
  <c r="H370" i="7" l="1"/>
  <c r="I370" i="7" s="1"/>
  <c r="F371" i="7" s="1"/>
  <c r="G371" i="7" l="1"/>
  <c r="H371" i="7" s="1"/>
  <c r="I371" i="7" s="1"/>
  <c r="F372" i="7" s="1"/>
  <c r="G372" i="7" l="1"/>
  <c r="H372" i="7" l="1"/>
  <c r="I372" i="7" s="1"/>
  <c r="F373" i="7" s="1"/>
  <c r="G373" i="7" l="1"/>
  <c r="H373" i="7" l="1"/>
  <c r="I373" i="7" s="1"/>
  <c r="F374" i="7" s="1"/>
  <c r="G374" i="7" l="1"/>
  <c r="H374" i="7" l="1"/>
  <c r="I374" i="7" s="1"/>
  <c r="F375" i="7" s="1"/>
  <c r="G375" i="7" l="1"/>
  <c r="H375" i="7" l="1"/>
  <c r="I375" i="7" s="1"/>
  <c r="F376" i="7" s="1"/>
  <c r="G376" i="7" l="1"/>
  <c r="H376" i="7" s="1"/>
  <c r="I376" i="7" s="1"/>
  <c r="F377" i="7" s="1"/>
  <c r="G377" i="7" l="1"/>
  <c r="H377" i="7" l="1"/>
  <c r="I377" i="7" s="1"/>
  <c r="F378" i="7" s="1"/>
  <c r="G378" i="7" l="1"/>
  <c r="H378" i="7" l="1"/>
  <c r="I378" i="7" s="1"/>
  <c r="F379" i="7" s="1"/>
  <c r="G379" i="7" l="1"/>
  <c r="H379" i="7" l="1"/>
  <c r="I379" i="7" s="1"/>
  <c r="F380" i="7" s="1"/>
  <c r="G380" i="7" l="1"/>
  <c r="H380" i="7" s="1"/>
  <c r="I380" i="7" s="1"/>
  <c r="F381" i="7" s="1"/>
  <c r="G381" i="7" l="1"/>
  <c r="H381" i="7" l="1"/>
  <c r="I381" i="7" s="1"/>
  <c r="F382" i="7" s="1"/>
  <c r="G382" i="7" l="1"/>
  <c r="H382" i="7" l="1"/>
  <c r="I382" i="7" s="1"/>
  <c r="F383" i="7" s="1"/>
  <c r="G383" i="7" l="1"/>
  <c r="H383" i="7" l="1"/>
  <c r="I383" i="7" s="1"/>
  <c r="F384" i="7" s="1"/>
  <c r="G384" i="7" l="1"/>
  <c r="H384" i="7" l="1"/>
  <c r="I384" i="7" s="1"/>
  <c r="G385" i="7" l="1"/>
  <c r="F385" i="7"/>
  <c r="H385" i="7" l="1"/>
  <c r="I385" i="7" s="1"/>
  <c r="F386" i="7" s="1"/>
  <c r="G386" i="7" l="1"/>
  <c r="H386" i="7" s="1"/>
  <c r="I386" i="7" s="1"/>
  <c r="F387" i="7" s="1"/>
  <c r="G387" i="7" l="1"/>
  <c r="H387" i="7"/>
  <c r="I387" i="7" s="1"/>
  <c r="F388" i="7" s="1"/>
  <c r="G388" i="7" l="1"/>
  <c r="H388" i="7" l="1"/>
  <c r="I388" i="7" s="1"/>
  <c r="F389" i="7" s="1"/>
  <c r="G389" i="7" l="1"/>
  <c r="H389" i="7" l="1"/>
  <c r="I389" i="7" s="1"/>
  <c r="F390" i="7" s="1"/>
  <c r="G390" i="7" l="1"/>
  <c r="H390" i="7" s="1"/>
  <c r="I390" i="7" s="1"/>
  <c r="F391" i="7" s="1"/>
  <c r="G391" i="7" l="1"/>
  <c r="H391" i="7" l="1"/>
  <c r="I391" i="7" s="1"/>
  <c r="F392" i="7" s="1"/>
  <c r="G392" i="7" l="1"/>
  <c r="H392" i="7" l="1"/>
  <c r="I392" i="7" s="1"/>
  <c r="F393" i="7" s="1"/>
  <c r="G393" i="7" l="1"/>
  <c r="H393" i="7" s="1"/>
  <c r="I393" i="7" s="1"/>
  <c r="F394" i="7" s="1"/>
  <c r="G394" i="7" l="1"/>
  <c r="H394" i="7" l="1"/>
  <c r="I394" i="7" s="1"/>
  <c r="F395" i="7" s="1"/>
  <c r="G395" i="7" l="1"/>
  <c r="H395" i="7" s="1"/>
  <c r="I395" i="7" s="1"/>
  <c r="F396" i="7" s="1"/>
  <c r="G396" i="7" l="1"/>
  <c r="H396" i="7" l="1"/>
  <c r="I396" i="7" s="1"/>
  <c r="F397" i="7" s="1"/>
  <c r="G397" i="7" l="1"/>
  <c r="H397" i="7" l="1"/>
  <c r="I397" i="7" s="1"/>
  <c r="F398" i="7" s="1"/>
  <c r="G398" i="7" l="1"/>
  <c r="H398" i="7" l="1"/>
  <c r="I398" i="7" s="1"/>
  <c r="F399" i="7" s="1"/>
  <c r="G399" i="7" l="1"/>
  <c r="H399" i="7" s="1"/>
  <c r="I399" i="7" s="1"/>
  <c r="F400" i="7" s="1"/>
  <c r="G400" i="7" l="1"/>
  <c r="H400" i="7" l="1"/>
  <c r="I400" i="7" s="1"/>
  <c r="F401" i="7" s="1"/>
  <c r="G401" i="7" l="1"/>
  <c r="H401" i="7" l="1"/>
  <c r="I401" i="7" s="1"/>
  <c r="F402" i="7" s="1"/>
  <c r="G402" i="7" l="1"/>
  <c r="H402" i="7" s="1"/>
  <c r="I402" i="7" s="1"/>
  <c r="F403" i="7" s="1"/>
  <c r="G403" i="7" l="1"/>
  <c r="H403" i="7" l="1"/>
  <c r="I403" i="7" s="1"/>
  <c r="F404" i="7" s="1"/>
  <c r="G404" i="7" l="1"/>
  <c r="H404" i="7" s="1"/>
  <c r="I404" i="7" s="1"/>
  <c r="F405" i="7" s="1"/>
  <c r="G405" i="7" l="1"/>
  <c r="H405" i="7" l="1"/>
  <c r="I405" i="7" s="1"/>
  <c r="G406" i="7" l="1"/>
  <c r="F406" i="7"/>
  <c r="H406" i="7" s="1"/>
  <c r="I406" i="7" s="1"/>
  <c r="F407" i="7" s="1"/>
  <c r="G407" i="7" l="1"/>
  <c r="H407" i="7" s="1"/>
  <c r="I407" i="7" s="1"/>
  <c r="F408" i="7" s="1"/>
  <c r="G408" i="7" l="1"/>
  <c r="H408" i="7" l="1"/>
  <c r="I408" i="7" s="1"/>
  <c r="F409" i="7" s="1"/>
  <c r="G409" i="7" l="1"/>
  <c r="H409" i="7" l="1"/>
  <c r="I409" i="7" s="1"/>
  <c r="F410" i="7" s="1"/>
  <c r="G410" i="7" l="1"/>
  <c r="H410" i="7" l="1"/>
  <c r="I410" i="7" s="1"/>
  <c r="F411" i="7" s="1"/>
  <c r="G411" i="7" l="1"/>
  <c r="H411" i="7" s="1"/>
  <c r="I411" i="7" s="1"/>
  <c r="F412" i="7" s="1"/>
  <c r="G412" i="7" l="1"/>
  <c r="H412" i="7" l="1"/>
  <c r="I412" i="7" s="1"/>
  <c r="F413" i="7" s="1"/>
  <c r="G413" i="7" l="1"/>
  <c r="H413" i="7" s="1"/>
  <c r="I413" i="7" s="1"/>
  <c r="F414" i="7" s="1"/>
  <c r="G414" i="7" l="1"/>
  <c r="H414" i="7" s="1"/>
  <c r="I414" i="7" s="1"/>
  <c r="F415" i="7" s="1"/>
  <c r="G415" i="7" l="1"/>
  <c r="H415" i="7" s="1"/>
  <c r="I415" i="7" s="1"/>
  <c r="F416" i="7" s="1"/>
  <c r="G416" i="7" l="1"/>
  <c r="H416" i="7" l="1"/>
  <c r="I416" i="7" s="1"/>
  <c r="G417" i="7" l="1"/>
  <c r="F417" i="7"/>
  <c r="H417" i="7" l="1"/>
  <c r="I417" i="7" s="1"/>
  <c r="F418" i="7" s="1"/>
  <c r="G418" i="7" l="1"/>
  <c r="H418" i="7" s="1"/>
  <c r="I418" i="7" s="1"/>
  <c r="F419" i="7" s="1"/>
  <c r="G419" i="7" l="1"/>
  <c r="H419" i="7" s="1"/>
  <c r="I419" i="7" s="1"/>
  <c r="F420" i="7" s="1"/>
  <c r="G420" i="7" l="1"/>
  <c r="H420" i="7" l="1"/>
  <c r="I420" i="7" s="1"/>
  <c r="F421" i="7" s="1"/>
  <c r="G421" i="7" l="1"/>
  <c r="H421" i="7" l="1"/>
  <c r="I421" i="7" s="1"/>
  <c r="F422" i="7" s="1"/>
  <c r="G422" i="7" l="1"/>
  <c r="H422" i="7" s="1"/>
  <c r="I422" i="7" s="1"/>
  <c r="F423" i="7" s="1"/>
  <c r="G423" i="7" l="1"/>
  <c r="H423" i="7" l="1"/>
  <c r="I423" i="7" s="1"/>
  <c r="F424" i="7" s="1"/>
  <c r="G424" i="7" l="1"/>
  <c r="H424" i="7" s="1"/>
  <c r="I424" i="7" s="1"/>
  <c r="F425" i="7" s="1"/>
  <c r="G425" i="7" l="1"/>
  <c r="H425" i="7" s="1"/>
  <c r="I425" i="7" s="1"/>
  <c r="F426" i="7" s="1"/>
  <c r="G426" i="7" l="1"/>
  <c r="H426" i="7" s="1"/>
  <c r="I426" i="7" s="1"/>
  <c r="F427" i="7" s="1"/>
  <c r="G427" i="7" l="1"/>
  <c r="H427" i="7" s="1"/>
  <c r="I427" i="7" s="1"/>
  <c r="F428" i="7" s="1"/>
  <c r="G428" i="7" l="1"/>
  <c r="H428" i="7" s="1"/>
  <c r="I428" i="7" s="1"/>
  <c r="F429" i="7" s="1"/>
  <c r="G429" i="7" l="1"/>
  <c r="H429" i="7" l="1"/>
  <c r="I429" i="7" s="1"/>
  <c r="F430" i="7" s="1"/>
  <c r="G430" i="7" l="1"/>
  <c r="H430" i="7" l="1"/>
  <c r="I430" i="7" s="1"/>
  <c r="F431" i="7" s="1"/>
  <c r="G431" i="7" l="1"/>
  <c r="H431" i="7" s="1"/>
  <c r="I431" i="7" s="1"/>
  <c r="F432" i="7" s="1"/>
  <c r="G432" i="7" l="1"/>
  <c r="H432" i="7" s="1"/>
  <c r="I432" i="7" s="1"/>
  <c r="F433" i="7" s="1"/>
  <c r="G433" i="7" l="1"/>
  <c r="H433" i="7" l="1"/>
  <c r="I433" i="7" s="1"/>
  <c r="G434" i="7" l="1"/>
  <c r="F434" i="7"/>
  <c r="H434" i="7" l="1"/>
  <c r="I434" i="7" s="1"/>
  <c r="F435" i="7" s="1"/>
  <c r="G435" i="7" l="1"/>
  <c r="H435" i="7" s="1"/>
  <c r="I435" i="7" s="1"/>
  <c r="F436" i="7" s="1"/>
  <c r="G436" i="7" l="1"/>
  <c r="H436" i="7" s="1"/>
  <c r="I436" i="7" s="1"/>
  <c r="F437" i="7" s="1"/>
  <c r="G437" i="7" l="1"/>
  <c r="H437" i="7" s="1"/>
  <c r="I437" i="7" s="1"/>
  <c r="F438" i="7" s="1"/>
  <c r="G438" i="7" l="1"/>
  <c r="H438" i="7" s="1"/>
  <c r="I438" i="7" s="1"/>
  <c r="F439" i="7" s="1"/>
  <c r="G439" i="7" l="1"/>
  <c r="H439" i="7" l="1"/>
  <c r="I439" i="7" s="1"/>
  <c r="G440" i="7" l="1"/>
  <c r="F440" i="7"/>
  <c r="H440" i="7" s="1"/>
  <c r="I440" i="7" s="1"/>
  <c r="G441" i="7" l="1"/>
  <c r="F441" i="7"/>
  <c r="H441" i="7" s="1"/>
  <c r="I441" i="7" s="1"/>
  <c r="F442" i="7" s="1"/>
  <c r="G442" i="7" l="1"/>
  <c r="H442" i="7" l="1"/>
  <c r="I442" i="7" s="1"/>
  <c r="G443" i="7" l="1"/>
  <c r="F443" i="7"/>
  <c r="H443" i="7" s="1"/>
  <c r="I443" i="7" s="1"/>
  <c r="F444" i="7" s="1"/>
  <c r="G444" i="7" l="1"/>
  <c r="H444" i="7" s="1"/>
  <c r="I444" i="7" s="1"/>
  <c r="F445" i="7" s="1"/>
  <c r="G445" i="7" l="1"/>
  <c r="H445" i="7" l="1"/>
  <c r="I445" i="7" s="1"/>
  <c r="F446" i="7" s="1"/>
  <c r="G446" i="7" l="1"/>
  <c r="H446" i="7" s="1"/>
  <c r="I446" i="7" s="1"/>
  <c r="G447" i="7" l="1"/>
  <c r="F447" i="7"/>
  <c r="H447" i="7" s="1"/>
  <c r="I447" i="7" s="1"/>
  <c r="F448" i="7" s="1"/>
  <c r="G448" i="7" l="1"/>
  <c r="H448" i="7" s="1"/>
  <c r="I448" i="7" s="1"/>
  <c r="F449" i="7" s="1"/>
  <c r="G449" i="7" l="1"/>
  <c r="H449" i="7" l="1"/>
  <c r="I449" i="7" s="1"/>
  <c r="F450" i="7" s="1"/>
  <c r="G450" i="7" l="1"/>
  <c r="H450" i="7" l="1"/>
  <c r="I450" i="7" s="1"/>
  <c r="G451" i="7" l="1"/>
  <c r="F451" i="7"/>
  <c r="H451" i="7" l="1"/>
  <c r="I451" i="7" s="1"/>
  <c r="F452" i="7" s="1"/>
  <c r="G452" i="7" l="1"/>
  <c r="H452" i="7" s="1"/>
  <c r="I452" i="7" s="1"/>
  <c r="F453" i="7" s="1"/>
  <c r="G453" i="7" l="1"/>
  <c r="H453" i="7" s="1"/>
  <c r="I453" i="7" s="1"/>
  <c r="F454" i="7" s="1"/>
  <c r="G454" i="7" l="1"/>
  <c r="H454" i="7" l="1"/>
  <c r="I454" i="7" s="1"/>
  <c r="F455" i="7" s="1"/>
  <c r="G455" i="7" l="1"/>
  <c r="H455" i="7" l="1"/>
  <c r="I455" i="7" s="1"/>
  <c r="F456" i="7" s="1"/>
  <c r="G456" i="7" l="1"/>
  <c r="H456" i="7" l="1"/>
  <c r="I456" i="7" s="1"/>
  <c r="F457" i="7" s="1"/>
  <c r="G457" i="7" l="1"/>
  <c r="H457" i="7" l="1"/>
  <c r="I457" i="7" s="1"/>
  <c r="F458" i="7" s="1"/>
  <c r="G458" i="7" l="1"/>
  <c r="H458" i="7" l="1"/>
  <c r="I458" i="7" s="1"/>
  <c r="F459" i="7" s="1"/>
  <c r="G459" i="7" l="1"/>
  <c r="H459" i="7" l="1"/>
  <c r="I459" i="7" s="1"/>
  <c r="F460" i="7" s="1"/>
  <c r="G460" i="7" l="1"/>
  <c r="H460" i="7" l="1"/>
  <c r="I460" i="7" s="1"/>
  <c r="F461" i="7" s="1"/>
  <c r="G461" i="7" l="1"/>
  <c r="H461" i="7" s="1"/>
  <c r="I461" i="7" s="1"/>
  <c r="F462" i="7" s="1"/>
  <c r="G462" i="7" l="1"/>
  <c r="H462" i="7" l="1"/>
  <c r="I462" i="7" s="1"/>
  <c r="F463" i="7" s="1"/>
  <c r="G463" i="7" l="1"/>
  <c r="H463" i="7" s="1"/>
  <c r="I463" i="7" s="1"/>
  <c r="F464" i="7" s="1"/>
  <c r="G464" i="7" l="1"/>
  <c r="H464" i="7" l="1"/>
  <c r="I464" i="7" s="1"/>
  <c r="G465" i="7" l="1"/>
  <c r="F465" i="7"/>
  <c r="H465" i="7" l="1"/>
  <c r="I465" i="7" s="1"/>
  <c r="F466" i="7" s="1"/>
  <c r="G466" i="7" l="1"/>
  <c r="H466" i="7" s="1"/>
  <c r="I466" i="7" s="1"/>
  <c r="F467" i="7" l="1"/>
  <c r="G467" i="7"/>
  <c r="H467" i="7" s="1"/>
  <c r="I467" i="7" s="1"/>
  <c r="G468" i="7" s="1"/>
  <c r="F468" i="7" l="1"/>
  <c r="H468" i="7" s="1"/>
  <c r="I468" i="7" s="1"/>
  <c r="F469" i="7" s="1"/>
  <c r="G469" i="7" l="1"/>
  <c r="H469" i="7"/>
  <c r="I469" i="7" s="1"/>
  <c r="F470" i="7" s="1"/>
  <c r="G470" i="7" l="1"/>
  <c r="H470" i="7" s="1"/>
  <c r="I470" i="7" s="1"/>
  <c r="F471" i="7" s="1"/>
  <c r="G471" i="7" l="1"/>
  <c r="H471" i="7" l="1"/>
  <c r="I471" i="7" s="1"/>
  <c r="F472" i="7" s="1"/>
  <c r="G472" i="7" l="1"/>
  <c r="H472" i="7" s="1"/>
  <c r="I472" i="7" s="1"/>
  <c r="F473" i="7" s="1"/>
  <c r="G473" i="7" l="1"/>
  <c r="H473" i="7" l="1"/>
  <c r="I473" i="7" s="1"/>
  <c r="F474" i="7" s="1"/>
  <c r="G474" i="7" l="1"/>
  <c r="H474" i="7" l="1"/>
  <c r="I474" i="7" s="1"/>
  <c r="F475" i="7" s="1"/>
  <c r="G475" i="7" l="1"/>
  <c r="H475" i="7" l="1"/>
  <c r="I475" i="7" s="1"/>
  <c r="F476" i="7" s="1"/>
  <c r="G476" i="7" l="1"/>
  <c r="H476" i="7" l="1"/>
  <c r="I476" i="7" s="1"/>
  <c r="F477" i="7" s="1"/>
  <c r="G477" i="7" l="1"/>
  <c r="H477" i="7" s="1"/>
  <c r="I477" i="7" s="1"/>
  <c r="F478" i="7" s="1"/>
  <c r="G478" i="7" l="1"/>
  <c r="H478" i="7" s="1"/>
  <c r="I478" i="7" s="1"/>
  <c r="F479" i="7" s="1"/>
  <c r="G479" i="7" l="1"/>
  <c r="H479" i="7" s="1"/>
  <c r="I479" i="7" s="1"/>
  <c r="G480" i="7" l="1"/>
  <c r="F480" i="7"/>
  <c r="H480" i="7" l="1"/>
  <c r="I480" i="7" s="1"/>
  <c r="F481" i="7" s="1"/>
  <c r="G481" i="7" l="1"/>
  <c r="H481" i="7" s="1"/>
  <c r="I481" i="7" s="1"/>
  <c r="F482" i="7" s="1"/>
  <c r="G482" i="7" l="1"/>
  <c r="H482" i="7" s="1"/>
  <c r="I482" i="7" s="1"/>
  <c r="F483" i="7" s="1"/>
  <c r="G483" i="7" l="1"/>
  <c r="H483" i="7" s="1"/>
  <c r="I483" i="7" s="1"/>
  <c r="F484" i="7" l="1"/>
  <c r="F2" i="7" s="1"/>
  <c r="C14" i="7" s="1"/>
  <c r="G484" i="7"/>
  <c r="G2" i="7" s="1"/>
  <c r="C15" i="7" s="1"/>
  <c r="C17" i="7" s="1"/>
  <c r="H484" i="7" l="1"/>
  <c r="I484" i="7" s="1"/>
  <c r="H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tc={3CD240AE-5A57-4FE8-A051-F15ADB0EBE7E}</author>
  </authors>
  <commentList>
    <comment ref="N5" authorId="0" shapeId="0" xr:uid="{3CD240AE-5A57-4FE8-A051-F15ADB0EBE7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(ถ้ามี)</t>
      </text>
    </comment>
  </commentList>
</comments>
</file>

<file path=xl/sharedStrings.xml><?xml version="1.0" encoding="utf-8"?>
<sst xmlns="http://schemas.openxmlformats.org/spreadsheetml/2006/main" count="171" uniqueCount="163">
  <si>
    <t>งบประมาณ รายรับ - รายจ่าย  ประจำปี</t>
  </si>
  <si>
    <t>(หน่วย : บาท)</t>
  </si>
  <si>
    <t>รายการ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</si>
  <si>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</si>
  <si>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</si>
  <si>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</si>
  <si>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</si>
  <si>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</si>
  <si>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</si>
  <si>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</si>
  <si>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</si>
  <si>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</si>
  <si>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</si>
  <si>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</si>
  <si>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</si>
  <si>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รวม(ปี)</t>
  </si>
  <si>
    <t xml:space="preserve">เปอร์เซ็นต์ (ทั้งปี) </t>
  </si>
  <si>
    <t>รายรับ</t>
  </si>
  <si>
    <t>สัดส่วนรายรับ</t>
  </si>
  <si>
    <t xml:space="preserve">รายได้ อื่นๆ </t>
  </si>
  <si>
    <t>รวมรายรับ</t>
  </si>
  <si>
    <t xml:space="preserve"> </t>
  </si>
  <si>
    <t>เงินออม</t>
  </si>
  <si>
    <t>สัดส่วนเงินออม ต่อ รายรับ</t>
  </si>
  <si>
    <t>รวมเงินออม</t>
  </si>
  <si>
    <t>รายจ่าย</t>
  </si>
  <si>
    <t>สัดส่วนรายจ่าย ต่อ รายรับ</t>
  </si>
  <si>
    <t xml:space="preserve"> ภาษี</t>
  </si>
  <si>
    <t xml:space="preserve"> ค่าผ่อนรถยนต์ (ถ้ามี)</t>
  </si>
  <si>
    <t xml:space="preserve"> ค่าผ่อนชำระสินเชื่อส่วนบุคคล (ถ้ามี)</t>
  </si>
  <si>
    <t xml:space="preserve"> ค่าผ่อนชำระหนี้บัตรเครดิต (ถ้ามี)</t>
  </si>
  <si>
    <t xml:space="preserve"> ค่าเลี้ยงดูอุปการะคนในครอบครัว / ค่าเทอมลูก</t>
  </si>
  <si>
    <t xml:space="preserve"> เบี้ยประกัน</t>
  </si>
  <si>
    <t xml:space="preserve">อื่นๆ </t>
  </si>
  <si>
    <t>รวมรายจ่ายคงที่</t>
  </si>
  <si>
    <t xml:space="preserve"> ค่าอาหาร</t>
  </si>
  <si>
    <t xml:space="preserve"> ค่าเดินทาง</t>
  </si>
  <si>
    <t xml:space="preserve"> ค่าสันทนาการ ค่าท่องเที่ยว </t>
  </si>
  <si>
    <t>รวมรายจ่ายผันแปร</t>
  </si>
  <si>
    <t>รวมรายจ่าย</t>
  </si>
  <si>
    <t>เงินสดคงเหลือ</t>
  </si>
  <si>
    <t>ณ วันที่ (วว/ดด/ปป)</t>
  </si>
  <si>
    <t>ทรัพย์สิน (Asset)</t>
  </si>
  <si>
    <t>หนี้สิน (Debt)</t>
  </si>
  <si>
    <t>มูลค่า (บาท)</t>
  </si>
  <si>
    <t>%</t>
  </si>
  <si>
    <t>รายการหนี้สิน</t>
  </si>
  <si>
    <t>ยอดหนี้คงเหลือ</t>
  </si>
  <si>
    <t xml:space="preserve">% </t>
  </si>
  <si>
    <t xml:space="preserve">สินทรัพย์ สภาพคล่อง </t>
  </si>
  <si>
    <t xml:space="preserve">หนี้สินระยะยาว </t>
  </si>
  <si>
    <t xml:space="preserve">เงินสด </t>
  </si>
  <si>
    <t xml:space="preserve">หนี้สินระยะสั้น </t>
  </si>
  <si>
    <t xml:space="preserve">รวมสินทรัพย์สภาพคล่อง </t>
  </si>
  <si>
    <t xml:space="preserve">สินทรัพย์ เพื่อการลงทุน </t>
  </si>
  <si>
    <t>เงินชราภาพประกันสังคม</t>
  </si>
  <si>
    <t>หนี้กู้ยืมเพื่อการศึกษา</t>
  </si>
  <si>
    <t>ธุรกิจ</t>
  </si>
  <si>
    <t>รวมหนี้สินและยอดชำระต่อเดือน</t>
  </si>
  <si>
    <t>รวมสินทรัพย์เพื่อการลงทุน</t>
  </si>
  <si>
    <t xml:space="preserve">อัตราส่วนทางการเงิน </t>
  </si>
  <si>
    <t>ผลลัพธ์</t>
  </si>
  <si>
    <t xml:space="preserve">สินทรัพย์ส่วนตัว </t>
  </si>
  <si>
    <t>อัตราส่วนการออมและการลงทุน</t>
  </si>
  <si>
    <t xml:space="preserve">อัตราส่วนชำระหนี้ต่อรายได้ </t>
  </si>
  <si>
    <t>รถ (มูลค่าปัจจุบัน)</t>
  </si>
  <si>
    <t>อัตราส่วนเงินสำรอง</t>
  </si>
  <si>
    <t>ทองคำ/เครื่องประดับ</t>
  </si>
  <si>
    <t>ความมั่งคั่งสุทธิ</t>
  </si>
  <si>
    <t xml:space="preserve">รวมสินทรัพย์ ส่วนตัว </t>
  </si>
  <si>
    <t xml:space="preserve">รวมทรัพย์สินทั้งหมด </t>
  </si>
  <si>
    <t xml:space="preserve">กรอกช่อง
สีเหลือง ! </t>
  </si>
  <si>
    <t>Note : ถ้าไม่รู้จักสินทรัพย์ใดให้ข้าม</t>
  </si>
  <si>
    <t>รถ คันที่ 1</t>
  </si>
  <si>
    <t>บ้าน หลังที่ 1</t>
  </si>
  <si>
    <t>บ้าน หลังที่ 2</t>
  </si>
  <si>
    <t>รถ คันที่ 2</t>
  </si>
  <si>
    <t>ความมั่งคั่งสุทธิ (ทรัพย์สิน - หนี้สิน)</t>
  </si>
  <si>
    <t xml:space="preserve">หนี้นอกระบบ (ถ้ามี) </t>
  </si>
  <si>
    <t>ประกันสังคม</t>
  </si>
  <si>
    <t>เงินออมสำรองเผื่อฉุกเฉิน (Plan C)</t>
  </si>
  <si>
    <t xml:space="preserve">อื่นๆ อาทิ สลากออมทรัพย์ ออมทอง สหกรณ์ออมทรัพย์ หุ้นสหกรณ์  </t>
  </si>
  <si>
    <t>บัตรเครดิต / สินเชื่อส่วนบุคคล (ถ้ามี)</t>
  </si>
  <si>
    <t xml:space="preserve"> ค่าน้ำ - ค่าไฟ , สาธารณูปโภค</t>
  </si>
  <si>
    <t>ไม่มี</t>
  </si>
  <si>
    <t>ผลตอบแทนการลงทุน</t>
  </si>
  <si>
    <t>ปีที่</t>
  </si>
  <si>
    <t xml:space="preserve">รายการแสดงฐานะการเงิน </t>
  </si>
  <si>
    <t xml:space="preserve">มูลค่าเวนคืน/รับซื้อคืน กรมธรรม์ประกันชีวิต </t>
  </si>
  <si>
    <t>ออมกองทุนแบบ DCA</t>
  </si>
  <si>
    <t>อัตราผลตอบแทนคาดหวัง (%)</t>
  </si>
  <si>
    <t>เงินต้น</t>
  </si>
  <si>
    <t>มูลค่าเงินในอนาคต</t>
  </si>
  <si>
    <t>มูลค่าเงินสิ้นงวด</t>
  </si>
  <si>
    <t>ระยะเวลาออม(ปี)</t>
  </si>
  <si>
    <t>เงินสะสม</t>
  </si>
  <si>
    <t>จำนวนเงินกู้ (บาท)</t>
  </si>
  <si>
    <t xml:space="preserve">ระยะเวลากู้ (ปี) </t>
  </si>
  <si>
    <t>อัตราดอกเบี้ย (%)</t>
  </si>
  <si>
    <t>จำนวนเงินผ่อนทั้งหมด</t>
  </si>
  <si>
    <t>ยอดผ่อนต่อเดือน</t>
  </si>
  <si>
    <t>จำนวนดอกเบี้ยทั้งหมด</t>
  </si>
  <si>
    <t>โปะเพิ่มต่อเดือน (บาท) (ถ้ามี)</t>
  </si>
  <si>
    <t>Month</t>
  </si>
  <si>
    <t>Payment</t>
  </si>
  <si>
    <t>Interest</t>
  </si>
  <si>
    <t>Principal</t>
  </si>
  <si>
    <t>Balance</t>
  </si>
  <si>
    <t>Total Payment</t>
  </si>
  <si>
    <t>Total Interest</t>
  </si>
  <si>
    <t>Total Principle</t>
  </si>
  <si>
    <t>เงินเริ่มต้น (ถ้ามี)</t>
  </si>
  <si>
    <t>วิธีการคิดคำนวณ</t>
  </si>
  <si>
    <t>ประเด็นสำคัญด้านการเงิน</t>
  </si>
  <si>
    <t>เรามีหนี้เกินตัวหรือเปล่า?</t>
  </si>
  <si>
    <t>คุณสะสมความมั่งคั่งได้ดีแค่ไหน?</t>
  </si>
  <si>
    <t>หากรายได้สูญหาย เรายังมีเงินใช้ได้อีกนานแค่ไหน</t>
  </si>
  <si>
    <t>ในแต่ละปี เรารวยขึ้น หรือจนลง?</t>
  </si>
  <si>
    <t>กองทุนลดหย่อนภาษี SSF/ LTF/ RMF</t>
  </si>
  <si>
    <t xml:space="preserve"> (เงินผ่อนชำระหนี้รายเดือน / รายได้รวมต่อเดือน) x 100</t>
  </si>
  <si>
    <t xml:space="preserve"> (เงินออมและเงินลงทุนรายเดือน / รายได้รวมต่อเดือน) x 100 </t>
  </si>
  <si>
    <t xml:space="preserve"> (มูลค่าทรัพย์สินสภาพคล่อง / รายจ่ายรวมต่อเดือน) </t>
  </si>
  <si>
    <t xml:space="preserve"> ทรัพย์สินรวม - หนี้สินรวม</t>
  </si>
  <si>
    <t xml:space="preserve"> ออม 10% ของรายได้</t>
  </si>
  <si>
    <t xml:space="preserve"> ภาระหนี้น้อยกว่า 50% ของรายได้</t>
  </si>
  <si>
    <t xml:space="preserve"> เงินสำรอง 6 เท่าของรายจ่าย</t>
  </si>
  <si>
    <t xml:space="preserve"> ความมั่งคั่งเป็นบวก [ทรัพย์สิน มากกว่า หนี้สิน]</t>
  </si>
  <si>
    <t xml:space="preserve"> ค่าผ่อนบ้าน</t>
  </si>
  <si>
    <t xml:space="preserve"> ค่าผ่อน อื่น ๆ </t>
  </si>
  <si>
    <t xml:space="preserve"> ค่าผ่อน อื่น ๆ</t>
  </si>
  <si>
    <t xml:space="preserve"> ค่าเช่าบ้าน</t>
  </si>
  <si>
    <t>เงินลงทุนกองทุนสำรองเลี้ยงชีพ / กบข. / กอช. (Plan B)</t>
  </si>
  <si>
    <t>เงินลงทุนซื้อกองทุนรวมหุ้น/ SSF/ RMF (Plan B)</t>
  </si>
  <si>
    <t>เกณฑ์ สุขภาพการเงินที่ดี</t>
  </si>
  <si>
    <t>CREDIT : The Money Coach</t>
  </si>
  <si>
    <t>เงินเดือน/ค่าจ้าง/ Commission</t>
  </si>
  <si>
    <t>เงินพิเศษอื่น ๆ ค่าล่วงเวลา โบนัส</t>
  </si>
  <si>
    <t> ค่าโทรศัพท์/ อินเทอร์เน็ต/ ค่าสมาชิก ต่างๆ อาทิ ดูหนัง ฟังเพลง ฟิตเนส</t>
  </si>
  <si>
    <t>แทรกเพิ่มได้</t>
  </si>
  <si>
    <t xml:space="preserve">หุ้นในประเทศ / หุ้นต่างประเทศ, พันธบัตร , หุ้นกู้ </t>
  </si>
  <si>
    <t>สลากออมทรัพย์ อาทิ สลาก ออมสิน, สลาก ธกส.</t>
  </si>
  <si>
    <t xml:space="preserve">กองทุนรวมตลาดเงิน , กองทุนรวมตราสารหนี้ </t>
  </si>
  <si>
    <t xml:space="preserve">กองทุนสำรองเลี้ยงชีพ (Provident Fund) / กบข / กอช </t>
  </si>
  <si>
    <t xml:space="preserve">Crytocurrency อาทิ Bitcoins , Ethereum </t>
  </si>
  <si>
    <t>คำแนะนำ</t>
  </si>
  <si>
    <t>บัญชีเงินฝากออมทรัพย์/ฝากประจำ/ทองคำ 1</t>
  </si>
  <si>
    <t>บัญชีเงินฝากออมทรัพย์/ฝากประจำ/ทองคำ 2</t>
  </si>
  <si>
    <t>บัญชีเงินฝากออมทรัพย์/ฝากประจำ/ทองคำ 3</t>
  </si>
  <si>
    <t>บัญชีเงินฝากออมทรัพย์/ฝากประจำ/ทองคำ 4</t>
  </si>
  <si>
    <t>หุ้นสหกรณ์</t>
  </si>
  <si>
    <t xml:space="preserve">กองทุนรวมหุ้น อาทิ กองทุนรวม SET50 / </t>
  </si>
  <si>
    <t>บ้าน/ที่ดิน 1 (ราคาตลาด)</t>
  </si>
  <si>
    <t>บ้าน/ที่ดิน 2 (ราคาตลาด)</t>
  </si>
  <si>
    <t>รายจ่ายคงที่</t>
  </si>
  <si>
    <t>รายจ่ายผันแปร</t>
  </si>
  <si>
    <t>ค่ายา/ค่าตรวจสุขภาพ</t>
  </si>
  <si>
    <t xml:space="preserve"> ค่าใช้จ่ายส่วนตัว</t>
  </si>
  <si>
    <t xml:space="preserve">รายจ่ายคงที่ อื่นๆ </t>
  </si>
  <si>
    <t xml:space="preserve">รายจ่ายทั่วไปอื่น ๆ </t>
  </si>
  <si>
    <t>คำนวณเงินกู้ บ้าน/ สินเชื่อเงินก้อน</t>
  </si>
  <si>
    <t>31 ธ.ค. 2566</t>
  </si>
  <si>
    <t>ออมปีละ</t>
  </si>
  <si>
    <t>ออมเพิ่มปีละ (บาท)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</si>
</sst>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_);_(* \(#,##0.00\);_(* \-??_);_(@_)"/>
    <numFmt numFmtId="165" formatCode="_-[$฿-41E]* #,##0.00_-;\-[$฿-41E]* #,##0.00_-;_-[$฿-41E]* &quot;-&quot;??_-;_-@_-"/>
    <numFmt numFmtId="166" formatCode="_-[$฿-41E]* #,##0.0_-;\-[$฿-41E]* #,##0.0_-;_-[$฿-41E]* &quot;-&quot;??_-;_-@_-"/>
    <numFmt numFmtId="167" formatCode="_-[$฿-41E]* #,##0.0_-;\-[$฿-41E]* #,##0.0_-;_-[$฿-41E]* &quot;-&quot;?_-;_-@_-"/>
    <numFmt numFmtId="168" formatCode="0.0%"/>
    <numFmt numFmtId="169" formatCode="_(* #,##0_);_(* \(#,##0\);_(* &quot;-&quot;??_);_(@_)"/>
  </numFmts>
  <fonts count="35" x14ac:knownFonts="1">
    <font>
      <sz val="10"/>
      <name val="Arial"/>
      <family val="2"/>
    </font>
    <font>
      <b/>
      <sz val="18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b/>
      <sz val="14"/>
      <color indexed="9"/>
      <name val="Angsana New"/>
      <family val="1"/>
    </font>
    <font>
      <sz val="10"/>
      <name val="Arial"/>
      <family val="2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14"/>
      <color theme="1"/>
      <name val="Angsana New"/>
      <family val="1"/>
    </font>
    <font>
      <b/>
      <sz val="14"/>
      <color theme="0"/>
      <name val="Angsana New"/>
      <family val="1"/>
    </font>
    <font>
      <sz val="14"/>
      <color theme="0"/>
      <name val="Angsana New"/>
      <family val="1"/>
    </font>
    <font>
      <sz val="10"/>
      <name val="Angsana New"/>
      <family val="1"/>
    </font>
    <font>
      <sz val="14"/>
      <color rgb="FFFF0000"/>
      <name val="Angsana New"/>
      <family val="1"/>
    </font>
    <font>
      <b/>
      <sz val="14"/>
      <color theme="1"/>
      <name val="Angsana New"/>
      <family val="1"/>
    </font>
    <font>
      <b/>
      <sz val="12"/>
      <name val="Angsana New"/>
      <family val="1"/>
    </font>
    <font>
      <u/>
      <sz val="10"/>
      <color theme="10"/>
      <name val="Arial"/>
      <family val="2"/>
    </font>
    <font>
      <b/>
      <sz val="16"/>
      <name val="Angsana New"/>
      <family val="1"/>
    </font>
    <font>
      <sz val="16"/>
      <name val="Angsana New"/>
      <family val="1"/>
    </font>
    <font>
      <sz val="11"/>
      <name val="Calibri"/>
      <family val="2"/>
    </font>
    <font>
      <b/>
      <u/>
      <sz val="16"/>
      <name val="Angsana New"/>
      <family val="1"/>
    </font>
    <font>
      <b/>
      <sz val="18"/>
      <color theme="4" tint="-0.499984740745262"/>
      <name val="Angsana New"/>
      <family val="1"/>
    </font>
    <font>
      <b/>
      <sz val="18"/>
      <color rgb="FFC00000"/>
      <name val="Angsana New"/>
      <family val="1"/>
    </font>
    <font>
      <sz val="16"/>
      <color theme="0"/>
      <name val="Angsana New"/>
      <family val="1"/>
    </font>
    <font>
      <b/>
      <sz val="16"/>
      <color theme="0"/>
      <name val="Angsana New"/>
      <family val="1"/>
    </font>
    <font>
      <b/>
      <sz val="16"/>
      <color rgb="FFC00000"/>
      <name val="Angsana New"/>
      <family val="1"/>
    </font>
    <font>
      <b/>
      <sz val="10"/>
      <color rgb="FF00B050"/>
      <name val="Arial"/>
      <family val="2"/>
    </font>
    <font>
      <b/>
      <sz val="16"/>
      <color theme="1"/>
      <name val="Angsana New"/>
      <family val="1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6"/>
      <color theme="1"/>
      <name val="Angsana New"/>
      <family val="1"/>
    </font>
    <font>
      <sz val="16"/>
      <color rgb="FF002060"/>
      <name val="Angsana New"/>
      <family val="1"/>
    </font>
    <font>
      <b/>
      <sz val="16"/>
      <color rgb="FF002060"/>
      <name val="Angsana New"/>
      <family val="1"/>
    </font>
    <font>
      <b/>
      <sz val="16"/>
      <color theme="9" tint="-0.499984740745262"/>
      <name val="Angsana New"/>
      <family val="1"/>
    </font>
    <font>
      <sz val="16"/>
      <color theme="9" tint="-0.499984740745262"/>
      <name val="Angsana New"/>
      <family val="1"/>
    </font>
    <font>
      <sz val="16"/>
      <color rgb="FFC00000"/>
      <name val="Angsana New"/>
      <family val="1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5050"/>
        <bgColor indexed="3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FF99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31"/>
      </patternFill>
    </fill>
    <fill>
      <patternFill patternType="solid">
        <fgColor theme="8" tint="0.59999389629810485"/>
        <bgColor indexed="3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59"/>
      </patternFill>
    </fill>
    <fill>
      <patternFill patternType="solid">
        <fgColor theme="5" tint="-0.499984740745262"/>
        <bgColor indexed="59"/>
      </patternFill>
    </fill>
    <fill>
      <patternFill patternType="solid">
        <fgColor rgb="FFFF7C80"/>
        <bgColor indexed="9"/>
      </patternFill>
    </fill>
    <fill>
      <patternFill patternType="solid">
        <fgColor rgb="FF00206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FF7C80"/>
      </left>
      <right style="thin">
        <color rgb="FFFF7C80"/>
      </right>
      <top style="thin">
        <color rgb="FFFF7C80"/>
      </top>
      <bottom style="thin">
        <color rgb="FFFF7C80"/>
      </bottom>
      <diagonal/>
    </border>
    <border>
      <left/>
      <right/>
      <top/>
      <bottom style="thin">
        <color theme="9"/>
      </bottom>
      <diagonal/>
    </border>
    <border>
      <left/>
      <right/>
      <top style="thin">
        <color rgb="FF7F7F7F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FF7C80"/>
      </left>
      <right style="thin">
        <color rgb="FFFF7C80"/>
      </right>
      <top/>
      <bottom style="thin">
        <color rgb="FFFF7C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7C80"/>
      </left>
      <right/>
      <top style="thin">
        <color rgb="FFFF7C80"/>
      </top>
      <bottom style="thin">
        <color rgb="FFFF7C80"/>
      </bottom>
      <diagonal/>
    </border>
    <border>
      <left/>
      <right style="thin">
        <color rgb="FFFF7C80"/>
      </right>
      <top style="thin">
        <color rgb="FFFF7C80"/>
      </top>
      <bottom style="thin">
        <color rgb="FFFF7C80"/>
      </bottom>
      <diagonal/>
    </border>
    <border>
      <left style="thin">
        <color rgb="FFFF7C80"/>
      </left>
      <right style="thin">
        <color rgb="FFFF7C80"/>
      </right>
      <top style="thin">
        <color rgb="FFFF7C8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 tint="0.39997558519241921"/>
      </left>
      <right style="thin">
        <color theme="8" tint="0.39997558519241921"/>
      </right>
      <top/>
      <bottom style="thin">
        <color theme="8" tint="0.39997558519241921"/>
      </bottom>
      <diagonal/>
    </border>
  </borders>
  <cellStyleXfs count="7">
    <xf numFmtId="0" fontId="0" fillId="0" borderId="0"/>
    <xf numFmtId="164" fontId="5" fillId="0" borderId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9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14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14" borderId="2" xfId="0" applyFont="1" applyFill="1" applyBorder="1"/>
    <xf numFmtId="0" fontId="8" fillId="6" borderId="2" xfId="0" applyFont="1" applyFill="1" applyBorder="1"/>
    <xf numFmtId="0" fontId="3" fillId="20" borderId="2" xfId="0" applyFont="1" applyFill="1" applyBorder="1"/>
    <xf numFmtId="0" fontId="9" fillId="18" borderId="2" xfId="0" applyFont="1" applyFill="1" applyBorder="1"/>
    <xf numFmtId="166" fontId="3" fillId="3" borderId="2" xfId="0" applyNumberFormat="1" applyFont="1" applyFill="1" applyBorder="1" applyAlignment="1">
      <alignment horizontal="center"/>
    </xf>
    <xf numFmtId="166" fontId="9" fillId="18" borderId="2" xfId="0" applyNumberFormat="1" applyFont="1" applyFill="1" applyBorder="1" applyAlignment="1">
      <alignment horizontal="center"/>
    </xf>
    <xf numFmtId="9" fontId="9" fillId="18" borderId="2" xfId="3" applyFont="1" applyFill="1" applyBorder="1" applyAlignment="1">
      <alignment horizontal="center"/>
    </xf>
    <xf numFmtId="166" fontId="3" fillId="6" borderId="2" xfId="0" applyNumberFormat="1" applyFont="1" applyFill="1" applyBorder="1" applyAlignment="1">
      <alignment horizontal="center"/>
    </xf>
    <xf numFmtId="0" fontId="4" fillId="24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165" fontId="3" fillId="3" borderId="3" xfId="0" applyNumberFormat="1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left" vertical="center"/>
    </xf>
    <xf numFmtId="165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 vertical="center"/>
    </xf>
    <xf numFmtId="165" fontId="3" fillId="25" borderId="3" xfId="0" applyNumberFormat="1" applyFont="1" applyFill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/>
    </xf>
    <xf numFmtId="9" fontId="3" fillId="0" borderId="2" xfId="3" applyFont="1" applyBorder="1" applyAlignment="1">
      <alignment horizontal="center"/>
    </xf>
    <xf numFmtId="9" fontId="3" fillId="0" borderId="3" xfId="3" applyFont="1" applyBorder="1"/>
    <xf numFmtId="166" fontId="3" fillId="14" borderId="2" xfId="0" applyNumberFormat="1" applyFont="1" applyFill="1" applyBorder="1" applyAlignment="1">
      <alignment horizontal="center"/>
    </xf>
    <xf numFmtId="9" fontId="3" fillId="14" borderId="2" xfId="3" applyFont="1" applyFill="1" applyBorder="1" applyAlignment="1">
      <alignment horizontal="center"/>
    </xf>
    <xf numFmtId="9" fontId="3" fillId="10" borderId="3" xfId="3" applyFont="1" applyFill="1" applyBorder="1"/>
    <xf numFmtId="9" fontId="3" fillId="6" borderId="2" xfId="3" applyFont="1" applyFill="1" applyBorder="1" applyAlignment="1">
      <alignment horizontal="center"/>
    </xf>
    <xf numFmtId="9" fontId="3" fillId="20" borderId="2" xfId="3" applyFont="1" applyFill="1" applyBorder="1" applyAlignment="1">
      <alignment horizontal="center"/>
    </xf>
    <xf numFmtId="0" fontId="3" fillId="0" borderId="8" xfId="0" applyFont="1" applyBorder="1"/>
    <xf numFmtId="49" fontId="2" fillId="0" borderId="0" xfId="0" applyNumberFormat="1" applyFont="1"/>
    <xf numFmtId="0" fontId="2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22" borderId="3" xfId="0" applyFont="1" applyFill="1" applyBorder="1" applyAlignment="1">
      <alignment horizontal="left" vertical="center"/>
    </xf>
    <xf numFmtId="0" fontId="3" fillId="0" borderId="3" xfId="0" applyFont="1" applyBorder="1"/>
    <xf numFmtId="166" fontId="3" fillId="20" borderId="2" xfId="0" applyNumberFormat="1" applyFont="1" applyFill="1" applyBorder="1" applyAlignment="1">
      <alignment horizontal="center"/>
    </xf>
    <xf numFmtId="0" fontId="2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right" vertical="center"/>
    </xf>
    <xf numFmtId="0" fontId="4" fillId="23" borderId="4" xfId="0" applyFont="1" applyFill="1" applyBorder="1" applyAlignment="1">
      <alignment vertical="center"/>
    </xf>
    <xf numFmtId="0" fontId="14" fillId="0" borderId="0" xfId="0" applyFont="1"/>
    <xf numFmtId="0" fontId="15" fillId="0" borderId="0" xfId="6" applyAlignment="1">
      <alignment vertical="center"/>
    </xf>
    <xf numFmtId="43" fontId="10" fillId="0" borderId="0" xfId="5" applyFont="1" applyAlignment="1">
      <alignment vertical="center"/>
    </xf>
    <xf numFmtId="3" fontId="3" fillId="0" borderId="0" xfId="2" applyNumberFormat="1" applyFont="1" applyAlignment="1">
      <alignment vertical="center"/>
    </xf>
    <xf numFmtId="169" fontId="3" fillId="0" borderId="0" xfId="5" applyNumberFormat="1" applyFont="1" applyAlignment="1">
      <alignment vertical="center"/>
    </xf>
    <xf numFmtId="0" fontId="10" fillId="0" borderId="0" xfId="0" applyFont="1" applyAlignment="1">
      <alignment horizontal="center"/>
    </xf>
    <xf numFmtId="0" fontId="2" fillId="6" borderId="2" xfId="0" applyFont="1" applyFill="1" applyBorder="1"/>
    <xf numFmtId="0" fontId="13" fillId="20" borderId="2" xfId="0" applyFont="1" applyFill="1" applyBorder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7" fillId="0" borderId="0" xfId="0" quotePrefix="1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20" xfId="0" applyFont="1" applyBorder="1" applyAlignment="1">
      <alignment horizontal="right"/>
    </xf>
    <xf numFmtId="0" fontId="17" fillId="0" borderId="23" xfId="0" applyFont="1" applyBorder="1" applyAlignment="1">
      <alignment horizontal="right" vertical="center" wrapText="1"/>
    </xf>
    <xf numFmtId="43" fontId="0" fillId="0" borderId="0" xfId="0" applyNumberFormat="1"/>
    <xf numFmtId="0" fontId="17" fillId="0" borderId="17" xfId="0" applyFont="1" applyBorder="1" applyAlignment="1">
      <alignment horizontal="right"/>
    </xf>
    <xf numFmtId="3" fontId="17" fillId="0" borderId="24" xfId="0" applyNumberFormat="1" applyFont="1" applyBorder="1" applyAlignment="1">
      <alignment horizontal="right" vertical="center" wrapText="1"/>
    </xf>
    <xf numFmtId="0" fontId="17" fillId="28" borderId="23" xfId="0" applyFont="1" applyFill="1" applyBorder="1" applyAlignment="1">
      <alignment horizontal="right" vertical="center" wrapText="1"/>
    </xf>
    <xf numFmtId="3" fontId="17" fillId="28" borderId="24" xfId="0" applyNumberFormat="1" applyFont="1" applyFill="1" applyBorder="1" applyAlignment="1">
      <alignment horizontal="right" vertical="center" wrapText="1"/>
    </xf>
    <xf numFmtId="0" fontId="23" fillId="29" borderId="21" xfId="0" applyFont="1" applyFill="1" applyBorder="1" applyAlignment="1">
      <alignment horizontal="center" vertical="center" wrapText="1"/>
    </xf>
    <xf numFmtId="0" fontId="23" fillId="29" borderId="22" xfId="0" applyFont="1" applyFill="1" applyBorder="1" applyAlignment="1">
      <alignment horizontal="center" vertical="center" wrapText="1"/>
    </xf>
    <xf numFmtId="4" fontId="17" fillId="3" borderId="0" xfId="0" applyNumberFormat="1" applyFont="1" applyFill="1" applyAlignment="1">
      <alignment horizontal="right"/>
    </xf>
    <xf numFmtId="169" fontId="17" fillId="3" borderId="0" xfId="5" applyNumberFormat="1" applyFont="1" applyFill="1" applyAlignment="1">
      <alignment horizontal="right"/>
    </xf>
    <xf numFmtId="9" fontId="17" fillId="3" borderId="0" xfId="3" applyFont="1" applyFill="1" applyAlignment="1">
      <alignment horizontal="right"/>
    </xf>
    <xf numFmtId="43" fontId="17" fillId="0" borderId="0" xfId="0" applyNumberFormat="1" applyFont="1"/>
    <xf numFmtId="39" fontId="24" fillId="0" borderId="19" xfId="5" applyNumberFormat="1" applyFont="1" applyBorder="1"/>
    <xf numFmtId="43" fontId="17" fillId="0" borderId="18" xfId="0" applyNumberFormat="1" applyFont="1" applyBorder="1"/>
    <xf numFmtId="169" fontId="17" fillId="0" borderId="0" xfId="5" applyNumberFormat="1" applyFont="1" applyFill="1" applyAlignment="1">
      <alignment horizontal="right"/>
    </xf>
    <xf numFmtId="0" fontId="18" fillId="0" borderId="0" xfId="0" applyFont="1" applyAlignment="1">
      <alignment horizontal="center" vertical="center" wrapText="1"/>
    </xf>
    <xf numFmtId="43" fontId="18" fillId="0" borderId="11" xfId="5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9" xfId="0" applyFont="1" applyBorder="1" applyAlignment="1">
      <alignment vertical="center" wrapText="1"/>
    </xf>
    <xf numFmtId="0" fontId="18" fillId="0" borderId="30" xfId="0" applyFont="1" applyBorder="1" applyAlignment="1">
      <alignment horizontal="center" vertical="center" wrapText="1"/>
    </xf>
    <xf numFmtId="4" fontId="18" fillId="0" borderId="27" xfId="0" applyNumberFormat="1" applyFont="1" applyBorder="1" applyAlignment="1">
      <alignment horizontal="right" vertical="center" wrapText="1"/>
    </xf>
    <xf numFmtId="43" fontId="18" fillId="0" borderId="31" xfId="5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39" fontId="24" fillId="0" borderId="0" xfId="5" applyNumberFormat="1" applyFont="1" applyBorder="1"/>
    <xf numFmtId="43" fontId="25" fillId="0" borderId="0" xfId="0" applyNumberFormat="1" applyFont="1"/>
    <xf numFmtId="0" fontId="26" fillId="0" borderId="0" xfId="0" applyFont="1" applyAlignment="1">
      <alignment horizontal="right"/>
    </xf>
    <xf numFmtId="0" fontId="27" fillId="30" borderId="20" xfId="0" applyFont="1" applyFill="1" applyBorder="1" applyAlignment="1">
      <alignment horizontal="center" vertical="center" wrapText="1"/>
    </xf>
    <xf numFmtId="0" fontId="27" fillId="31" borderId="28" xfId="0" applyFont="1" applyFill="1" applyBorder="1" applyAlignment="1">
      <alignment horizontal="center" vertical="center" wrapText="1"/>
    </xf>
    <xf numFmtId="0" fontId="27" fillId="27" borderId="28" xfId="0" applyFont="1" applyFill="1" applyBorder="1" applyAlignment="1">
      <alignment horizontal="center" vertical="center" wrapText="1"/>
    </xf>
    <xf numFmtId="0" fontId="28" fillId="32" borderId="28" xfId="0" applyFont="1" applyFill="1" applyBorder="1" applyAlignment="1">
      <alignment horizontal="center" vertical="center" wrapText="1"/>
    </xf>
    <xf numFmtId="0" fontId="28" fillId="33" borderId="19" xfId="0" applyFont="1" applyFill="1" applyBorder="1" applyAlignment="1">
      <alignment horizontal="center" vertical="center" wrapText="1"/>
    </xf>
    <xf numFmtId="0" fontId="16" fillId="3" borderId="0" xfId="2" applyFont="1" applyFill="1" applyAlignment="1">
      <alignment horizontal="center" vertical="center"/>
    </xf>
    <xf numFmtId="0" fontId="16" fillId="0" borderId="0" xfId="2" applyFont="1" applyAlignment="1">
      <alignment horizontal="center" vertical="center"/>
    </xf>
    <xf numFmtId="49" fontId="16" fillId="0" borderId="0" xfId="2" applyNumberFormat="1" applyFont="1" applyAlignment="1">
      <alignment horizontal="center" vertical="center"/>
    </xf>
    <xf numFmtId="9" fontId="17" fillId="13" borderId="9" xfId="3" applyFont="1" applyFill="1" applyBorder="1" applyAlignment="1">
      <alignment horizontal="center" vertical="center"/>
    </xf>
    <xf numFmtId="0" fontId="17" fillId="0" borderId="9" xfId="2" applyFont="1" applyBorder="1" applyAlignment="1">
      <alignment vertical="center"/>
    </xf>
    <xf numFmtId="165" fontId="30" fillId="3" borderId="9" xfId="2" applyNumberFormat="1" applyFont="1" applyFill="1" applyBorder="1" applyAlignment="1">
      <alignment vertical="center"/>
    </xf>
    <xf numFmtId="165" fontId="30" fillId="0" borderId="9" xfId="2" applyNumberFormat="1" applyFont="1" applyBorder="1" applyAlignment="1">
      <alignment horizontal="center" vertical="center"/>
    </xf>
    <xf numFmtId="165" fontId="31" fillId="0" borderId="9" xfId="2" applyNumberFormat="1" applyFont="1" applyBorder="1" applyAlignment="1">
      <alignment vertical="center"/>
    </xf>
    <xf numFmtId="165" fontId="32" fillId="12" borderId="9" xfId="2" applyNumberFormat="1" applyFont="1" applyFill="1" applyBorder="1" applyAlignment="1">
      <alignment horizontal="right" vertical="center"/>
    </xf>
    <xf numFmtId="165" fontId="30" fillId="12" borderId="9" xfId="2" applyNumberFormat="1" applyFont="1" applyFill="1" applyBorder="1" applyAlignment="1">
      <alignment vertical="center"/>
    </xf>
    <xf numFmtId="9" fontId="17" fillId="16" borderId="9" xfId="3" applyFont="1" applyFill="1" applyBorder="1" applyAlignment="1">
      <alignment horizontal="center" vertical="center"/>
    </xf>
    <xf numFmtId="0" fontId="16" fillId="20" borderId="6" xfId="2" applyFont="1" applyFill="1" applyBorder="1" applyAlignment="1">
      <alignment horizontal="center" vertical="center"/>
    </xf>
    <xf numFmtId="165" fontId="33" fillId="7" borderId="6" xfId="2" applyNumberFormat="1" applyFont="1" applyFill="1" applyBorder="1" applyAlignment="1">
      <alignment vertical="center"/>
    </xf>
    <xf numFmtId="165" fontId="33" fillId="7" borderId="6" xfId="2" applyNumberFormat="1" applyFont="1" applyFill="1" applyBorder="1" applyAlignment="1">
      <alignment horizontal="right" vertical="center"/>
    </xf>
    <xf numFmtId="165" fontId="33" fillId="7" borderId="6" xfId="2" applyNumberFormat="1" applyFont="1" applyFill="1" applyBorder="1" applyAlignment="1">
      <alignment horizontal="left" vertical="center"/>
    </xf>
    <xf numFmtId="165" fontId="32" fillId="7" borderId="6" xfId="2" applyNumberFormat="1" applyFont="1" applyFill="1" applyBorder="1" applyAlignment="1">
      <alignment horizontal="left" vertical="center"/>
    </xf>
    <xf numFmtId="0" fontId="17" fillId="14" borderId="2" xfId="2" applyFont="1" applyFill="1" applyBorder="1" applyAlignment="1">
      <alignment horizontal="center" vertical="center"/>
    </xf>
    <xf numFmtId="0" fontId="17" fillId="0" borderId="2" xfId="2" applyFont="1" applyBorder="1" applyAlignment="1">
      <alignment horizontal="left" vertical="center"/>
    </xf>
    <xf numFmtId="165" fontId="33" fillId="3" borderId="2" xfId="2" applyNumberFormat="1" applyFont="1" applyFill="1" applyBorder="1" applyAlignment="1">
      <alignment horizontal="center" vertical="center"/>
    </xf>
    <xf numFmtId="165" fontId="33" fillId="0" borderId="2" xfId="2" applyNumberFormat="1" applyFont="1" applyBorder="1" applyAlignment="1">
      <alignment horizontal="center" vertical="center"/>
    </xf>
    <xf numFmtId="9" fontId="17" fillId="14" borderId="2" xfId="3" applyFont="1" applyFill="1" applyBorder="1" applyAlignment="1">
      <alignment horizontal="center" vertical="center"/>
    </xf>
    <xf numFmtId="0" fontId="17" fillId="0" borderId="0" xfId="2" applyFont="1" applyAlignment="1">
      <alignment vertical="center"/>
    </xf>
    <xf numFmtId="165" fontId="33" fillId="3" borderId="7" xfId="2" applyNumberFormat="1" applyFont="1" applyFill="1" applyBorder="1" applyAlignment="1">
      <alignment horizontal="center" vertical="center"/>
    </xf>
    <xf numFmtId="0" fontId="17" fillId="0" borderId="7" xfId="2" applyFont="1" applyBorder="1" applyAlignment="1">
      <alignment horizontal="left" vertical="center"/>
    </xf>
    <xf numFmtId="0" fontId="16" fillId="11" borderId="7" xfId="2" applyFont="1" applyFill="1" applyBorder="1" applyAlignment="1">
      <alignment horizontal="right" vertical="center"/>
    </xf>
    <xf numFmtId="165" fontId="33" fillId="11" borderId="7" xfId="1" applyNumberFormat="1" applyFont="1" applyFill="1" applyBorder="1" applyAlignment="1">
      <alignment horizontal="center" vertical="center"/>
    </xf>
    <xf numFmtId="168" fontId="33" fillId="11" borderId="7" xfId="3" applyNumberFormat="1" applyFont="1" applyFill="1" applyBorder="1" applyAlignment="1">
      <alignment horizontal="center" vertical="center"/>
    </xf>
    <xf numFmtId="0" fontId="16" fillId="4" borderId="10" xfId="2" applyFont="1" applyFill="1" applyBorder="1" applyAlignment="1">
      <alignment horizontal="center" vertical="center"/>
    </xf>
    <xf numFmtId="165" fontId="17" fillId="0" borderId="10" xfId="2" applyNumberFormat="1" applyFont="1" applyBorder="1" applyAlignment="1">
      <alignment vertical="center"/>
    </xf>
    <xf numFmtId="165" fontId="17" fillId="0" borderId="10" xfId="2" applyNumberFormat="1" applyFont="1" applyBorder="1" applyAlignment="1">
      <alignment horizontal="right" vertical="center"/>
    </xf>
    <xf numFmtId="165" fontId="16" fillId="0" borderId="10" xfId="2" applyNumberFormat="1" applyFont="1" applyBorder="1" applyAlignment="1">
      <alignment vertical="center"/>
    </xf>
    <xf numFmtId="0" fontId="17" fillId="0" borderId="10" xfId="2" applyFont="1" applyBorder="1" applyAlignment="1">
      <alignment horizontal="center" vertical="center"/>
    </xf>
    <xf numFmtId="0" fontId="19" fillId="9" borderId="3" xfId="2" applyFont="1" applyFill="1" applyBorder="1" applyAlignment="1">
      <alignment vertical="center"/>
    </xf>
    <xf numFmtId="165" fontId="17" fillId="9" borderId="3" xfId="2" applyNumberFormat="1" applyFont="1" applyFill="1" applyBorder="1" applyAlignment="1">
      <alignment vertical="center"/>
    </xf>
    <xf numFmtId="165" fontId="17" fillId="9" borderId="14" xfId="2" applyNumberFormat="1" applyFont="1" applyFill="1" applyBorder="1" applyAlignment="1">
      <alignment vertical="center"/>
    </xf>
    <xf numFmtId="165" fontId="17" fillId="9" borderId="14" xfId="2" applyNumberFormat="1" applyFont="1" applyFill="1" applyBorder="1" applyAlignment="1">
      <alignment horizontal="right" vertical="center"/>
    </xf>
    <xf numFmtId="165" fontId="16" fillId="9" borderId="3" xfId="2" applyNumberFormat="1" applyFont="1" applyFill="1" applyBorder="1" applyAlignment="1">
      <alignment vertical="center"/>
    </xf>
    <xf numFmtId="0" fontId="17" fillId="9" borderId="3" xfId="2" applyFont="1" applyFill="1" applyBorder="1" applyAlignment="1">
      <alignment horizontal="center" vertical="center"/>
    </xf>
    <xf numFmtId="0" fontId="17" fillId="0" borderId="3" xfId="2" applyFont="1" applyBorder="1" applyAlignment="1">
      <alignment vertical="center"/>
    </xf>
    <xf numFmtId="165" fontId="17" fillId="3" borderId="12" xfId="2" applyNumberFormat="1" applyFont="1" applyFill="1" applyBorder="1" applyAlignment="1">
      <alignment vertical="center"/>
    </xf>
    <xf numFmtId="165" fontId="33" fillId="0" borderId="3" xfId="2" applyNumberFormat="1" applyFont="1" applyBorder="1" applyAlignment="1">
      <alignment horizontal="center" vertical="center"/>
    </xf>
    <xf numFmtId="165" fontId="16" fillId="0" borderId="13" xfId="2" applyNumberFormat="1" applyFont="1" applyBorder="1" applyAlignment="1">
      <alignment vertical="center"/>
    </xf>
    <xf numFmtId="9" fontId="17" fillId="9" borderId="3" xfId="3" applyFont="1" applyFill="1" applyBorder="1" applyAlignment="1">
      <alignment horizontal="center" vertical="center"/>
    </xf>
    <xf numFmtId="0" fontId="16" fillId="9" borderId="3" xfId="2" applyFont="1" applyFill="1" applyBorder="1" applyAlignment="1">
      <alignment horizontal="right" vertical="center"/>
    </xf>
    <xf numFmtId="165" fontId="17" fillId="9" borderId="10" xfId="2" applyNumberFormat="1" applyFont="1" applyFill="1" applyBorder="1" applyAlignment="1">
      <alignment vertical="center"/>
    </xf>
    <xf numFmtId="165" fontId="17" fillId="9" borderId="10" xfId="2" applyNumberFormat="1" applyFont="1" applyFill="1" applyBorder="1" applyAlignment="1">
      <alignment horizontal="right" vertical="center"/>
    </xf>
    <xf numFmtId="165" fontId="16" fillId="9" borderId="3" xfId="1" applyNumberFormat="1" applyFont="1" applyFill="1" applyBorder="1" applyAlignment="1">
      <alignment vertical="center"/>
    </xf>
    <xf numFmtId="0" fontId="19" fillId="0" borderId="3" xfId="2" applyFont="1" applyBorder="1" applyAlignment="1">
      <alignment horizontal="left" vertical="center"/>
    </xf>
    <xf numFmtId="165" fontId="17" fillId="0" borderId="3" xfId="2" applyNumberFormat="1" applyFont="1" applyBorder="1" applyAlignment="1">
      <alignment vertical="center"/>
    </xf>
    <xf numFmtId="165" fontId="17" fillId="0" borderId="3" xfId="2" applyNumberFormat="1" applyFont="1" applyBorder="1" applyAlignment="1">
      <alignment horizontal="right" vertical="center"/>
    </xf>
    <xf numFmtId="165" fontId="16" fillId="0" borderId="3" xfId="2" applyNumberFormat="1" applyFont="1" applyBorder="1" applyAlignment="1">
      <alignment vertical="center"/>
    </xf>
    <xf numFmtId="165" fontId="17" fillId="3" borderId="3" xfId="2" applyNumberFormat="1" applyFont="1" applyFill="1" applyBorder="1" applyAlignment="1">
      <alignment vertical="center"/>
    </xf>
    <xf numFmtId="165" fontId="17" fillId="9" borderId="3" xfId="2" applyNumberFormat="1" applyFont="1" applyFill="1" applyBorder="1" applyAlignment="1">
      <alignment horizontal="right" vertical="center"/>
    </xf>
    <xf numFmtId="9" fontId="16" fillId="9" borderId="3" xfId="3" applyFont="1" applyFill="1" applyBorder="1" applyAlignment="1">
      <alignment horizontal="center" vertical="center"/>
    </xf>
    <xf numFmtId="0" fontId="16" fillId="5" borderId="3" xfId="2" applyFont="1" applyFill="1" applyBorder="1" applyAlignment="1">
      <alignment horizontal="center" vertical="center"/>
    </xf>
    <xf numFmtId="165" fontId="17" fillId="5" borderId="3" xfId="2" applyNumberFormat="1" applyFont="1" applyFill="1" applyBorder="1" applyAlignment="1">
      <alignment vertical="center"/>
    </xf>
    <xf numFmtId="165" fontId="16" fillId="5" borderId="3" xfId="2" applyNumberFormat="1" applyFont="1" applyFill="1" applyBorder="1" applyAlignment="1">
      <alignment vertical="center"/>
    </xf>
    <xf numFmtId="168" fontId="16" fillId="5" borderId="3" xfId="3" applyNumberFormat="1" applyFont="1" applyFill="1" applyBorder="1" applyAlignment="1">
      <alignment horizontal="center" vertical="center"/>
    </xf>
    <xf numFmtId="0" fontId="16" fillId="8" borderId="1" xfId="2" applyFont="1" applyFill="1" applyBorder="1" applyAlignment="1">
      <alignment horizontal="center" vertical="center"/>
    </xf>
    <xf numFmtId="165" fontId="17" fillId="2" borderId="1" xfId="2" applyNumberFormat="1" applyFont="1" applyFill="1" applyBorder="1" applyAlignment="1">
      <alignment vertical="center"/>
    </xf>
    <xf numFmtId="165" fontId="17" fillId="2" borderId="1" xfId="2" applyNumberFormat="1" applyFont="1" applyFill="1" applyBorder="1" applyAlignment="1">
      <alignment horizontal="right" vertical="center"/>
    </xf>
    <xf numFmtId="165" fontId="16" fillId="2" borderId="1" xfId="2" applyNumberFormat="1" applyFont="1" applyFill="1" applyBorder="1" applyAlignment="1">
      <alignment vertical="center"/>
    </xf>
    <xf numFmtId="168" fontId="22" fillId="19" borderId="0" xfId="3" applyNumberFormat="1" applyFont="1" applyFill="1" applyAlignment="1">
      <alignment horizontal="center" vertical="center"/>
    </xf>
    <xf numFmtId="0" fontId="18" fillId="34" borderId="30" xfId="0" applyFont="1" applyFill="1" applyBorder="1" applyAlignment="1">
      <alignment horizontal="center" vertical="center" wrapText="1"/>
    </xf>
    <xf numFmtId="43" fontId="18" fillId="34" borderId="11" xfId="5" applyFont="1" applyFill="1" applyBorder="1" applyAlignment="1">
      <alignment horizontal="center" vertical="center" wrapText="1"/>
    </xf>
    <xf numFmtId="43" fontId="18" fillId="34" borderId="31" xfId="5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6" fillId="0" borderId="15" xfId="0" applyFont="1" applyBorder="1" applyAlignment="1">
      <alignment horizontal="right"/>
    </xf>
    <xf numFmtId="43" fontId="16" fillId="0" borderId="16" xfId="0" applyNumberFormat="1" applyFont="1" applyBorder="1"/>
    <xf numFmtId="0" fontId="9" fillId="26" borderId="0" xfId="0" applyFont="1" applyFill="1" applyAlignment="1">
      <alignment horizontal="center" vertical="center"/>
    </xf>
    <xf numFmtId="2" fontId="17" fillId="0" borderId="0" xfId="0" applyNumberFormat="1" applyFont="1" applyAlignment="1">
      <alignment vertical="center"/>
    </xf>
    <xf numFmtId="0" fontId="16" fillId="0" borderId="0" xfId="2" applyFont="1" applyAlignment="1">
      <alignment vertical="center"/>
    </xf>
    <xf numFmtId="0" fontId="16" fillId="13" borderId="33" xfId="2" applyFont="1" applyFill="1" applyBorder="1" applyAlignment="1">
      <alignment horizontal="center" vertical="center"/>
    </xf>
    <xf numFmtId="165" fontId="30" fillId="13" borderId="33" xfId="2" applyNumberFormat="1" applyFont="1" applyFill="1" applyBorder="1" applyAlignment="1">
      <alignment vertical="center"/>
    </xf>
    <xf numFmtId="165" fontId="30" fillId="13" borderId="33" xfId="2" applyNumberFormat="1" applyFont="1" applyFill="1" applyBorder="1" applyAlignment="1">
      <alignment horizontal="right" vertical="center"/>
    </xf>
    <xf numFmtId="165" fontId="31" fillId="13" borderId="33" xfId="2" applyNumberFormat="1" applyFont="1" applyFill="1" applyBorder="1" applyAlignment="1">
      <alignment vertical="center"/>
    </xf>
    <xf numFmtId="9" fontId="17" fillId="13" borderId="34" xfId="3" applyFont="1" applyFill="1" applyBorder="1" applyAlignment="1">
      <alignment horizontal="center" vertical="center"/>
    </xf>
    <xf numFmtId="0" fontId="26" fillId="17" borderId="32" xfId="2" applyFont="1" applyFill="1" applyBorder="1" applyAlignment="1">
      <alignment horizontal="center" vertical="center"/>
    </xf>
    <xf numFmtId="0" fontId="29" fillId="17" borderId="32" xfId="2" applyFont="1" applyFill="1" applyBorder="1" applyAlignment="1">
      <alignment horizontal="center" vertical="center"/>
    </xf>
    <xf numFmtId="0" fontId="34" fillId="0" borderId="3" xfId="2" applyFont="1" applyBorder="1" applyAlignment="1">
      <alignment vertical="center"/>
    </xf>
    <xf numFmtId="165" fontId="34" fillId="3" borderId="12" xfId="2" applyNumberFormat="1" applyFont="1" applyFill="1" applyBorder="1" applyAlignment="1">
      <alignment vertical="center"/>
    </xf>
    <xf numFmtId="165" fontId="34" fillId="0" borderId="3" xfId="2" applyNumberFormat="1" applyFont="1" applyBorder="1" applyAlignment="1">
      <alignment horizontal="center" vertical="center"/>
    </xf>
    <xf numFmtId="165" fontId="24" fillId="0" borderId="13" xfId="2" applyNumberFormat="1" applyFont="1" applyBorder="1" applyAlignment="1">
      <alignment vertical="center"/>
    </xf>
    <xf numFmtId="0" fontId="3" fillId="36" borderId="0" xfId="2" applyFont="1" applyFill="1" applyAlignment="1">
      <alignment vertical="center"/>
    </xf>
    <xf numFmtId="14" fontId="2" fillId="3" borderId="0" xfId="0" applyNumberFormat="1" applyFont="1" applyFill="1" applyAlignment="1">
      <alignment horizontal="center"/>
    </xf>
    <xf numFmtId="0" fontId="9" fillId="35" borderId="0" xfId="0" applyFont="1" applyFill="1" applyAlignment="1">
      <alignment vertical="center"/>
    </xf>
    <xf numFmtId="0" fontId="16" fillId="0" borderId="0" xfId="2" applyFont="1" applyAlignment="1">
      <alignment horizontal="left" vertical="center"/>
    </xf>
    <xf numFmtId="10" fontId="17" fillId="0" borderId="0" xfId="3" applyNumberFormat="1" applyFont="1" applyAlignment="1">
      <alignment vertical="center"/>
    </xf>
    <xf numFmtId="165" fontId="29" fillId="0" borderId="3" xfId="2" applyNumberFormat="1" applyFont="1" applyBorder="1" applyAlignment="1">
      <alignment horizontal="center" vertical="center"/>
    </xf>
    <xf numFmtId="167" fontId="10" fillId="15" borderId="0" xfId="0" applyNumberFormat="1" applyFont="1" applyFill="1" applyAlignment="1">
      <alignment horizontal="center" vertical="center"/>
    </xf>
    <xf numFmtId="0" fontId="20" fillId="37" borderId="25" xfId="0" applyFont="1" applyFill="1" applyBorder="1" applyAlignment="1">
      <alignment horizontal="right"/>
    </xf>
    <xf numFmtId="43" fontId="20" fillId="37" borderId="25" xfId="5" applyFont="1" applyFill="1" applyBorder="1"/>
    <xf numFmtId="165" fontId="17" fillId="0" borderId="13" xfId="2" applyNumberFormat="1" applyFont="1" applyBorder="1" applyAlignment="1">
      <alignment vertical="center"/>
    </xf>
    <xf numFmtId="0" fontId="9" fillId="15" borderId="0" xfId="0" applyFont="1" applyFill="1"/>
    <xf numFmtId="167" fontId="9" fillId="15" borderId="0" xfId="0" applyNumberFormat="1" applyFont="1" applyFill="1"/>
    <xf numFmtId="10" fontId="9" fillId="15" borderId="0" xfId="3" applyNumberFormat="1" applyFont="1" applyFill="1"/>
    <xf numFmtId="0" fontId="1" fillId="0" borderId="0" xfId="0" applyFont="1" applyAlignment="1">
      <alignment horizontal="center" vertical="center"/>
    </xf>
    <xf numFmtId="0" fontId="12" fillId="3" borderId="5" xfId="4" applyFont="1" applyFill="1" applyBorder="1" applyAlignment="1">
      <alignment horizontal="center" vertical="center" wrapText="1"/>
    </xf>
    <xf numFmtId="0" fontId="12" fillId="3" borderId="0" xfId="4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7">
    <cellStyle name="Comma" xfId="5" builtinId="3"/>
    <cellStyle name="Comma_FLCousrePreparation(1)" xfId="1" xr:uid="{00000000-0005-0000-0000-000001000000}"/>
    <cellStyle name="Hyperlink" xfId="6" builtinId="8"/>
    <cellStyle name="Normal" xfId="0" builtinId="0"/>
    <cellStyle name="Normal_FLCousrePreparation(1)" xfId="2" xr:uid="{00000000-0005-0000-0000-000004000000}"/>
    <cellStyle name="Percent" xfId="3" builtinId="5"/>
    <cellStyle name="Warning Text" xfId="4" builtinId="11"/>
  </cellStyles>
  <dxfs count="4">
    <dxf>
      <font>
        <b val="0"/>
        <i val="0"/>
        <color rgb="FFFA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FA0000"/>
      </font>
      <fill>
        <patternFill>
          <bgColor theme="5" tint="0.79998168889431442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6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0000"/>
      <color rgb="FFFF9696"/>
      <color rgb="FFFF9999"/>
      <color rgb="FFFF5050"/>
      <color rgb="FFFFCCFF"/>
      <color rgb="FFFFCCCC"/>
      <color rgb="FF99FFCC"/>
      <color rgb="FFFF7C8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งบแสดงฐานะทางการเงิน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 1 - งบแสดงฐานะการเงิน'!$B$33</c:f>
              <c:strCache>
                <c:ptCount val="1"/>
                <c:pt idx="0">
                  <c:v>รวมทรัพย์สินทั้งหมด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'Unit 1 - งบแสดงฐานะการเงิน'!$C$33</c:f>
              <c:numCache>
                <c:formatCode>_-[$฿-41E]* #,##0.0_-;\-[$฿-41E]* #,##0.0_-;_-[$฿-41E]* "-"??_-;_-@_-</c:formatCode>
                <c:ptCount val="1"/>
                <c:pt idx="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D-0A4D-9ECB-3A16C6995070}"/>
            </c:ext>
          </c:extLst>
        </c:ser>
        <c:ser>
          <c:idx val="1"/>
          <c:order val="1"/>
          <c:tx>
            <c:strRef>
              <c:f>'Unit 1 - งบแสดงฐานะการเงิน'!$F$30</c:f>
              <c:strCache>
                <c:ptCount val="1"/>
                <c:pt idx="0">
                  <c:v>รวมหนี้สินและยอดชำระต่อเดือน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val>
            <c:numRef>
              <c:f>'Unit 1 - งบแสดงฐานะการเงิน'!$G$30</c:f>
              <c:numCache>
                <c:formatCode>_-[$฿-41E]* #,##0.00_-;\-[$฿-41E]* #,##0.00_-;_-[$฿-41E]*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D-0A4D-9ECB-3A16C6995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382056"/>
        <c:axId val="351386368"/>
      </c:barChart>
      <c:catAx>
        <c:axId val="351382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86368"/>
        <c:crosses val="autoZero"/>
        <c:auto val="1"/>
        <c:lblAlgn val="ctr"/>
        <c:lblOffset val="100"/>
        <c:noMultiLvlLbl val="0"/>
      </c:catAx>
      <c:valAx>
        <c:axId val="35138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฿-41E]* #,##0.0_-;\-[$฿-41E]* #,##0.0_-;_-[$฿-41E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8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269875</xdr:colOff>
      <xdr:row>3</xdr:row>
      <xdr:rowOff>60613</xdr:rowOff>
    </xdr:from>
    <xdr:to>
      <xdr:col>11</xdr:col>
      <xdr:colOff>519545</xdr:colOff>
      <xdr:row>32</xdr:row>
      <xdr:rowOff>238125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3D225BC3-BCFD-4D67-AC2E-8A528BDCD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สมทรัพย์ รัตนมนตรีชัย" id="{D56E8CB1-7328-4A2E-9298-D55620C6BAA7}" userId="202f5cd0cdb1ed7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5" dT="2023-07-22T07:53:09.16" personId="{D56E8CB1-7328-4A2E-9298-D55620C6BAA7}" id="{3CD240AE-5A57-4FE8-A051-F15ADB0EBE7E}">
    <text>Bonus (ถ้ามี)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J51"/>
  <sheetViews>
    <sheetView tabSelected="1" topLeftCell="A3" zoomScale="90" zoomScaleNormal="90" zoomScaleSheetLayoutView="100" workbookViewId="0">
      <selection activeCell="G33" sqref="G33"/>
    </sheetView>
  </sheetViews>
  <sheetFormatPr defaultColWidth="8.7109375" defaultRowHeight="14.25" x14ac:dyDescent="0.3"/>
  <cols>
    <col min="1" max="1" width="5.7109375" style="42" customWidth="1"/>
    <col min="2" max="2" width="41.5703125" style="42" bestFit="1" customWidth="1"/>
    <col min="3" max="3" width="13.85546875" style="42" bestFit="1" customWidth="1"/>
    <col min="4" max="4" width="22.28515625" style="42" customWidth="1"/>
    <col min="5" max="5" width="8.28515625" style="42" bestFit="1" customWidth="1"/>
    <col min="6" max="6" width="29.28515625" style="42" bestFit="1" customWidth="1"/>
    <col min="7" max="7" width="19.7109375" style="42" customWidth="1"/>
    <col min="8" max="8" width="13.28515625" style="42" customWidth="1"/>
    <col min="9" max="9" width="35" style="42" bestFit="1" customWidth="1"/>
    <col min="10" max="10" width="9.85546875" style="42" customWidth="1"/>
    <col min="11" max="11" width="12.7109375" style="42" customWidth="1"/>
    <col min="12" max="16384" width="8.7109375" style="42"/>
  </cols>
  <sheetData>
    <row r="1" spans="1:10" ht="24.75" customHeight="1" x14ac:dyDescent="0.3">
      <c r="B1" s="194" t="s">
        <v>87</v>
      </c>
      <c r="C1" s="194"/>
      <c r="D1" s="194"/>
      <c r="E1" s="194"/>
      <c r="F1" s="194"/>
      <c r="G1" s="194"/>
      <c r="H1" s="194"/>
      <c r="I1" s="194"/>
      <c r="J1" s="18"/>
    </row>
    <row r="2" spans="1:10" ht="20.25" customHeight="1" x14ac:dyDescent="0.45">
      <c r="B2" s="53" t="s">
        <v>72</v>
      </c>
      <c r="C2" s="19"/>
      <c r="D2" s="40"/>
      <c r="E2" s="41"/>
      <c r="F2" s="19" t="s">
        <v>41</v>
      </c>
      <c r="G2" s="182" t="s">
        <v>160</v>
      </c>
    </row>
    <row r="3" spans="1:10" ht="13.5" customHeight="1" x14ac:dyDescent="0.45">
      <c r="B3" s="1"/>
      <c r="C3" s="1"/>
      <c r="D3" s="1"/>
      <c r="E3" s="1"/>
      <c r="G3" s="1"/>
    </row>
    <row r="4" spans="1:10" ht="21" x14ac:dyDescent="0.45">
      <c r="A4" s="2"/>
      <c r="B4" s="52" t="s">
        <v>42</v>
      </c>
      <c r="C4" s="52"/>
      <c r="D4" s="52"/>
      <c r="E4" s="3"/>
      <c r="F4" s="16" t="s">
        <v>43</v>
      </c>
      <c r="G4" s="16"/>
      <c r="H4" s="16"/>
    </row>
    <row r="5" spans="1:10" s="43" customFormat="1" ht="21" x14ac:dyDescent="0.2">
      <c r="A5" s="20"/>
      <c r="B5" s="17" t="s">
        <v>2</v>
      </c>
      <c r="C5" s="4" t="s">
        <v>44</v>
      </c>
      <c r="D5" s="4" t="s">
        <v>45</v>
      </c>
      <c r="E5" s="20"/>
      <c r="F5" s="21" t="s">
        <v>46</v>
      </c>
      <c r="G5" s="21" t="s">
        <v>47</v>
      </c>
      <c r="H5" s="27" t="s">
        <v>48</v>
      </c>
      <c r="I5" s="20"/>
      <c r="J5" s="20"/>
    </row>
    <row r="6" spans="1:10" ht="21.75" customHeight="1" x14ac:dyDescent="0.45">
      <c r="A6" s="2"/>
      <c r="B6" s="5" t="s">
        <v>49</v>
      </c>
      <c r="C6" s="31"/>
      <c r="D6" s="6"/>
      <c r="E6" s="2"/>
      <c r="F6" s="25" t="s">
        <v>52</v>
      </c>
      <c r="G6" s="26"/>
      <c r="H6" s="33"/>
    </row>
    <row r="7" spans="1:10" s="2" customFormat="1" ht="19.899999999999999" customHeight="1" x14ac:dyDescent="0.45">
      <c r="B7" s="7" t="s">
        <v>51</v>
      </c>
      <c r="C7" s="12">
        <v>5000</v>
      </c>
      <c r="D7" s="32">
        <f>C7/$C$33</f>
        <v>1</v>
      </c>
      <c r="F7" s="23" t="s">
        <v>82</v>
      </c>
      <c r="G7" s="26"/>
      <c r="H7" s="33"/>
    </row>
    <row r="8" spans="1:10" s="2" customFormat="1" ht="21" x14ac:dyDescent="0.45">
      <c r="B8" s="7" t="s">
        <v>145</v>
      </c>
      <c r="C8" s="12"/>
      <c r="D8" s="32">
        <f>C8/$C$33</f>
        <v>0</v>
      </c>
      <c r="F8" s="28"/>
      <c r="G8" s="24"/>
      <c r="H8" s="33" t="e">
        <f>G8/$G$30</f>
        <v>#DIV/0!</v>
      </c>
    </row>
    <row r="9" spans="1:10" s="2" customFormat="1" ht="21" x14ac:dyDescent="0.45">
      <c r="B9" s="7" t="s">
        <v>146</v>
      </c>
      <c r="C9" s="12"/>
      <c r="D9" s="32">
        <f t="shared" ref="D9:D11" si="0">C9/$C$33</f>
        <v>0</v>
      </c>
      <c r="F9" s="28"/>
      <c r="G9" s="24"/>
      <c r="H9" s="33" t="e">
        <f t="shared" ref="H9:H15" si="1">G9/$G$30</f>
        <v>#DIV/0!</v>
      </c>
    </row>
    <row r="10" spans="1:10" s="2" customFormat="1" ht="21" x14ac:dyDescent="0.45">
      <c r="B10" s="7" t="s">
        <v>147</v>
      </c>
      <c r="C10" s="12"/>
      <c r="D10" s="32">
        <f t="shared" si="0"/>
        <v>0</v>
      </c>
      <c r="F10" s="28"/>
      <c r="G10" s="24"/>
      <c r="H10" s="33" t="e">
        <f t="shared" si="1"/>
        <v>#DIV/0!</v>
      </c>
    </row>
    <row r="11" spans="1:10" s="2" customFormat="1" ht="21" x14ac:dyDescent="0.45">
      <c r="B11" s="7" t="s">
        <v>148</v>
      </c>
      <c r="C11" s="12"/>
      <c r="D11" s="32">
        <f t="shared" si="0"/>
        <v>0</v>
      </c>
      <c r="F11" s="28"/>
      <c r="G11" s="24"/>
      <c r="H11" s="33" t="e">
        <f t="shared" si="1"/>
        <v>#DIV/0!</v>
      </c>
    </row>
    <row r="12" spans="1:10" s="2" customFormat="1" ht="21" x14ac:dyDescent="0.45">
      <c r="B12" s="7" t="s">
        <v>141</v>
      </c>
      <c r="C12" s="12"/>
      <c r="D12" s="32">
        <f>C12/$C$33</f>
        <v>0</v>
      </c>
      <c r="F12" s="28"/>
      <c r="G12" s="24"/>
      <c r="H12" s="33" t="e">
        <f t="shared" si="1"/>
        <v>#DIV/0!</v>
      </c>
    </row>
    <row r="13" spans="1:10" s="2" customFormat="1" ht="21" x14ac:dyDescent="0.45">
      <c r="B13" s="8" t="s">
        <v>53</v>
      </c>
      <c r="C13" s="34">
        <f>SUM(C7:C12)</f>
        <v>5000</v>
      </c>
      <c r="D13" s="35">
        <f>C13/$C$33</f>
        <v>1</v>
      </c>
      <c r="F13" s="28"/>
      <c r="G13" s="24"/>
      <c r="H13" s="33" t="e">
        <f t="shared" si="1"/>
        <v>#DIV/0!</v>
      </c>
    </row>
    <row r="14" spans="1:10" s="2" customFormat="1" ht="21" x14ac:dyDescent="0.45">
      <c r="B14" s="59" t="s">
        <v>54</v>
      </c>
      <c r="C14" s="31"/>
      <c r="D14" s="32"/>
      <c r="F14" s="28"/>
      <c r="G14" s="24"/>
      <c r="H14" s="33" t="e">
        <f t="shared" si="1"/>
        <v>#DIV/0!</v>
      </c>
    </row>
    <row r="15" spans="1:10" s="2" customFormat="1" ht="21" x14ac:dyDescent="0.45">
      <c r="B15" s="7" t="s">
        <v>140</v>
      </c>
      <c r="C15" s="12"/>
      <c r="D15" s="32">
        <f t="shared" ref="D15:D26" si="2">C15/$C$33</f>
        <v>0</v>
      </c>
      <c r="F15" s="28"/>
      <c r="G15" s="24"/>
      <c r="H15" s="33" t="e">
        <f t="shared" si="1"/>
        <v>#DIV/0!</v>
      </c>
    </row>
    <row r="16" spans="1:10" s="2" customFormat="1" ht="21" x14ac:dyDescent="0.45">
      <c r="B16" s="7" t="s">
        <v>55</v>
      </c>
      <c r="C16" s="12"/>
      <c r="D16" s="32">
        <f t="shared" si="2"/>
        <v>0</v>
      </c>
      <c r="F16" s="23" t="s">
        <v>78</v>
      </c>
      <c r="G16" s="26"/>
      <c r="H16" s="33"/>
    </row>
    <row r="17" spans="1:8" s="2" customFormat="1" ht="21" x14ac:dyDescent="0.45">
      <c r="B17" s="7" t="s">
        <v>88</v>
      </c>
      <c r="C17" s="12"/>
      <c r="D17" s="32">
        <f t="shared" si="2"/>
        <v>0</v>
      </c>
      <c r="F17" s="28"/>
      <c r="G17" s="24"/>
      <c r="H17" s="33" t="e">
        <f>G17/$G$30</f>
        <v>#DIV/0!</v>
      </c>
    </row>
    <row r="18" spans="1:8" s="2" customFormat="1" ht="21" x14ac:dyDescent="0.45">
      <c r="B18" s="7" t="s">
        <v>142</v>
      </c>
      <c r="C18" s="12"/>
      <c r="D18" s="32">
        <f t="shared" si="2"/>
        <v>0</v>
      </c>
      <c r="F18" s="28"/>
      <c r="G18" s="24"/>
      <c r="H18" s="33" t="e">
        <f>G18/$G$30</f>
        <v>#DIV/0!</v>
      </c>
    </row>
    <row r="19" spans="1:8" s="2" customFormat="1" ht="21" x14ac:dyDescent="0.45">
      <c r="B19" s="7" t="s">
        <v>150</v>
      </c>
      <c r="C19" s="12"/>
      <c r="D19" s="32">
        <f t="shared" si="2"/>
        <v>0</v>
      </c>
      <c r="F19" s="28"/>
      <c r="G19" s="24"/>
      <c r="H19" s="33" t="e">
        <f>G19/$G$30</f>
        <v>#DIV/0!</v>
      </c>
    </row>
    <row r="20" spans="1:8" s="2" customFormat="1" ht="21" x14ac:dyDescent="0.45">
      <c r="B20" s="7" t="s">
        <v>149</v>
      </c>
      <c r="C20" s="12"/>
      <c r="D20" s="32"/>
      <c r="F20" s="28"/>
      <c r="G20" s="24"/>
      <c r="H20" s="33"/>
    </row>
    <row r="21" spans="1:8" s="2" customFormat="1" ht="21" x14ac:dyDescent="0.45">
      <c r="B21" s="7" t="s">
        <v>118</v>
      </c>
      <c r="C21" s="12"/>
      <c r="D21" s="32">
        <f t="shared" si="2"/>
        <v>0</v>
      </c>
      <c r="F21" s="28"/>
      <c r="G21" s="24"/>
      <c r="H21" s="33" t="e">
        <f>G21/$G$30</f>
        <v>#DIV/0!</v>
      </c>
    </row>
    <row r="22" spans="1:8" s="2" customFormat="1" ht="21" x14ac:dyDescent="0.45">
      <c r="B22" s="7" t="s">
        <v>139</v>
      </c>
      <c r="C22" s="12"/>
      <c r="D22" s="32">
        <f t="shared" si="2"/>
        <v>0</v>
      </c>
      <c r="F22" s="28"/>
      <c r="G22" s="24"/>
      <c r="H22" s="33" t="e">
        <f>G22/$G$30</f>
        <v>#DIV/0!</v>
      </c>
    </row>
    <row r="23" spans="1:8" s="2" customFormat="1" ht="21" x14ac:dyDescent="0.45">
      <c r="B23" s="7" t="s">
        <v>143</v>
      </c>
      <c r="C23" s="12"/>
      <c r="D23" s="32">
        <f t="shared" si="2"/>
        <v>0</v>
      </c>
      <c r="F23" s="28"/>
      <c r="G23" s="24"/>
      <c r="H23" s="33" t="e">
        <f>G23/$G$30</f>
        <v>#DIV/0!</v>
      </c>
    </row>
    <row r="24" spans="1:8" s="2" customFormat="1" ht="21" x14ac:dyDescent="0.45">
      <c r="B24" s="7" t="s">
        <v>57</v>
      </c>
      <c r="C24" s="12"/>
      <c r="D24" s="32">
        <f t="shared" si="2"/>
        <v>0</v>
      </c>
      <c r="F24" s="45" t="s">
        <v>50</v>
      </c>
      <c r="G24" s="22"/>
      <c r="H24" s="46"/>
    </row>
    <row r="25" spans="1:8" s="2" customFormat="1" ht="21" x14ac:dyDescent="0.45">
      <c r="B25" s="39" t="s">
        <v>33</v>
      </c>
      <c r="C25" s="12"/>
      <c r="D25" s="32">
        <f t="shared" si="2"/>
        <v>0</v>
      </c>
      <c r="F25" s="23" t="s">
        <v>74</v>
      </c>
      <c r="G25" s="24"/>
      <c r="H25" s="33" t="e">
        <f t="shared" ref="H25:H30" si="3">G25/$G$30</f>
        <v>#DIV/0!</v>
      </c>
    </row>
    <row r="26" spans="1:8" s="2" customFormat="1" ht="21" x14ac:dyDescent="0.45">
      <c r="B26" s="9" t="s">
        <v>59</v>
      </c>
      <c r="C26" s="15">
        <f>SUM(C15:C24)</f>
        <v>0</v>
      </c>
      <c r="D26" s="37">
        <f t="shared" si="2"/>
        <v>0</v>
      </c>
      <c r="F26" s="23" t="s">
        <v>75</v>
      </c>
      <c r="G26" s="24"/>
      <c r="H26" s="33" t="e">
        <f t="shared" si="3"/>
        <v>#DIV/0!</v>
      </c>
    </row>
    <row r="27" spans="1:8" s="2" customFormat="1" ht="21" x14ac:dyDescent="0.45">
      <c r="B27" s="60" t="s">
        <v>62</v>
      </c>
      <c r="C27" s="31"/>
      <c r="D27" s="32"/>
      <c r="F27" s="23" t="s">
        <v>73</v>
      </c>
      <c r="G27" s="24"/>
      <c r="H27" s="33" t="e">
        <f t="shared" si="3"/>
        <v>#DIV/0!</v>
      </c>
    </row>
    <row r="28" spans="1:8" s="2" customFormat="1" ht="21" x14ac:dyDescent="0.45">
      <c r="B28" s="7" t="s">
        <v>151</v>
      </c>
      <c r="C28" s="12"/>
      <c r="D28" s="32">
        <f>C28/$C$33</f>
        <v>0</v>
      </c>
      <c r="F28" s="23" t="s">
        <v>76</v>
      </c>
      <c r="G28" s="24"/>
      <c r="H28" s="33" t="e">
        <f t="shared" si="3"/>
        <v>#DIV/0!</v>
      </c>
    </row>
    <row r="29" spans="1:8" s="2" customFormat="1" ht="21" x14ac:dyDescent="0.45">
      <c r="B29" s="7" t="s">
        <v>152</v>
      </c>
      <c r="C29" s="12"/>
      <c r="D29" s="32"/>
      <c r="F29" s="23" t="s">
        <v>56</v>
      </c>
      <c r="G29" s="24"/>
      <c r="H29" s="33" t="e">
        <f t="shared" si="3"/>
        <v>#DIV/0!</v>
      </c>
    </row>
    <row r="30" spans="1:8" ht="21" x14ac:dyDescent="0.45">
      <c r="A30" s="2"/>
      <c r="B30" s="7" t="s">
        <v>65</v>
      </c>
      <c r="C30" s="12"/>
      <c r="D30" s="32">
        <f>C30/$C$33</f>
        <v>0</v>
      </c>
      <c r="E30" s="2"/>
      <c r="F30" s="29" t="s">
        <v>58</v>
      </c>
      <c r="G30" s="30">
        <f>SUM(G17:G23,G8:G15,G25:G29)</f>
        <v>0</v>
      </c>
      <c r="H30" s="36" t="e">
        <f t="shared" si="3"/>
        <v>#DIV/0!</v>
      </c>
    </row>
    <row r="31" spans="1:8" ht="21" x14ac:dyDescent="0.45">
      <c r="A31" s="2"/>
      <c r="B31" s="7" t="s">
        <v>67</v>
      </c>
      <c r="C31" s="12"/>
      <c r="D31" s="32">
        <f>C31/$C$33</f>
        <v>0</v>
      </c>
      <c r="E31" s="2"/>
    </row>
    <row r="32" spans="1:8" ht="21" x14ac:dyDescent="0.45">
      <c r="A32" s="2"/>
      <c r="B32" s="10" t="s">
        <v>69</v>
      </c>
      <c r="C32" s="47">
        <f>SUM(C28:C31)</f>
        <v>0</v>
      </c>
      <c r="D32" s="38">
        <f>C32/$C$33</f>
        <v>0</v>
      </c>
      <c r="E32" s="2"/>
    </row>
    <row r="33" spans="1:10" ht="21" x14ac:dyDescent="0.45">
      <c r="A33" s="2"/>
      <c r="B33" s="11" t="s">
        <v>70</v>
      </c>
      <c r="C33" s="13">
        <f>C32+C26+C13</f>
        <v>5000</v>
      </c>
      <c r="D33" s="14">
        <f>D32+D26+D13</f>
        <v>1</v>
      </c>
      <c r="E33" s="2"/>
      <c r="F33" s="191" t="s">
        <v>77</v>
      </c>
      <c r="G33" s="192">
        <f>C33-G30</f>
        <v>5000</v>
      </c>
      <c r="H33" s="193">
        <f>G33/C33</f>
        <v>1</v>
      </c>
    </row>
    <row r="34" spans="1:10" ht="21" x14ac:dyDescent="0.45">
      <c r="H34" s="58"/>
    </row>
    <row r="36" spans="1:10" ht="21" x14ac:dyDescent="0.45">
      <c r="J36" s="2"/>
    </row>
    <row r="37" spans="1:10" ht="21" x14ac:dyDescent="0.45">
      <c r="J37" s="2"/>
    </row>
    <row r="48" spans="1:10" x14ac:dyDescent="0.3">
      <c r="I48" s="44"/>
    </row>
    <row r="49" spans="7:9" x14ac:dyDescent="0.3">
      <c r="H49" s="44"/>
      <c r="I49" s="44"/>
    </row>
    <row r="50" spans="7:9" x14ac:dyDescent="0.3">
      <c r="G50" s="44"/>
      <c r="H50" s="44"/>
    </row>
    <row r="51" spans="7:9" x14ac:dyDescent="0.3">
      <c r="G51" s="44"/>
    </row>
  </sheetData>
  <sheetProtection selectLockedCells="1" selectUnlockedCells="1"/>
  <mergeCells count="1">
    <mergeCell ref="B1:I1"/>
  </mergeCells>
  <phoneticPr fontId="6" type="noConversion"/>
  <conditionalFormatting sqref="G33">
    <cfRule type="cellIs" dxfId="3" priority="1" operator="lessThan">
      <formula>0</formula>
    </cfRule>
  </conditionalFormatting>
  <pageMargins left="0.35" right="0.15972222222222221" top="0.59027777777777779" bottom="0.97986111111111107" header="0.51180555555555551" footer="0.51180555555555551"/>
  <pageSetup paperSize="9" scale="90" firstPageNumber="0" orientation="landscape" horizontalDpi="300" verticalDpi="300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  <pageSetUpPr fitToPage="1"/>
  </sheetPr>
  <dimension ref="A1:W47"/>
  <sheetViews>
    <sheetView showGridLines="0" zoomScale="98" zoomScaleNormal="150" zoomScaleSheetLayoutView="100" zoomScalePageLayoutView="55" workbookViewId="0">
      <pane xSplit="1" ySplit="2" topLeftCell="B18" activePane="bottomRight" state="frozen"/>
      <selection activeCell="G33" sqref="G33"/>
      <selection pane="topRight" activeCell="G33" sqref="G33"/>
      <selection pane="bottomLeft" activeCell="G33" sqref="G33"/>
      <selection pane="bottomRight" activeCell="G33" sqref="G33"/>
    </sheetView>
  </sheetViews>
  <sheetFormatPr defaultColWidth="9.28515625" defaultRowHeight="21" x14ac:dyDescent="0.2"/>
  <cols>
    <col min="1" max="1" width="12.85546875" style="49" bestFit="1" customWidth="1"/>
    <col min="2" max="2" width="61.7109375" style="49" bestFit="1" customWidth="1"/>
    <col min="3" max="9" width="14.5703125" style="49" customWidth="1"/>
    <col min="10" max="10" width="14.5703125" style="51" customWidth="1"/>
    <col min="11" max="14" width="14.5703125" style="49" customWidth="1"/>
    <col min="15" max="15" width="14.5703125" style="48" customWidth="1"/>
    <col min="16" max="16" width="22.7109375" style="50" bestFit="1" customWidth="1"/>
    <col min="17" max="17" width="17.5703125" style="49" bestFit="1" customWidth="1"/>
    <col min="18" max="18" width="11.28515625" style="49" customWidth="1"/>
    <col min="19" max="22" width="11" style="49" bestFit="1" customWidth="1"/>
    <col min="23" max="23" width="12" style="49" bestFit="1" customWidth="1"/>
    <col min="24" max="16384" width="9.28515625" style="49"/>
  </cols>
  <sheetData>
    <row r="1" spans="1:23" s="48" customFormat="1" ht="26.65" customHeight="1" x14ac:dyDescent="0.2">
      <c r="A1" s="195" t="s">
        <v>71</v>
      </c>
      <c r="B1" s="98" t="s">
        <v>0</v>
      </c>
      <c r="C1" s="97">
        <v>2567</v>
      </c>
      <c r="D1" s="184"/>
      <c r="E1" s="99"/>
      <c r="F1" s="98"/>
      <c r="G1" s="98"/>
      <c r="H1" s="98"/>
      <c r="I1" s="98"/>
      <c r="J1" s="98"/>
      <c r="K1" s="169"/>
      <c r="L1" s="169"/>
      <c r="M1" s="169"/>
      <c r="N1" s="98"/>
      <c r="O1" s="98" t="s">
        <v>1</v>
      </c>
      <c r="P1" s="98"/>
    </row>
    <row r="2" spans="1:23" ht="23.25" x14ac:dyDescent="0.2">
      <c r="A2" s="196"/>
      <c r="B2" s="175" t="s">
        <v>2</v>
      </c>
      <c r="C2" s="175" t="s">
        <v>3</v>
      </c>
      <c r="D2" s="175" t="s">
        <v>4</v>
      </c>
      <c r="E2" s="175" t="s">
        <v>5</v>
      </c>
      <c r="F2" s="175" t="s">
        <v>6</v>
      </c>
      <c r="G2" s="175" t="s">
        <v>7</v>
      </c>
      <c r="H2" s="175" t="s">
        <v>8</v>
      </c>
      <c r="I2" s="175" t="s">
        <v>9</v>
      </c>
      <c r="J2" s="175" t="s">
        <v>10</v>
      </c>
      <c r="K2" s="175" t="s">
        <v>11</v>
      </c>
      <c r="L2" s="175" t="s">
        <v>12</v>
      </c>
      <c r="M2" s="175" t="s">
        <v>13</v>
      </c>
      <c r="N2" s="175" t="s">
        <v>14</v>
      </c>
      <c r="O2" s="175" t="s">
        <v>15</v>
      </c>
      <c r="P2" s="176" t="s">
        <v>16</v>
      </c>
    </row>
    <row r="3" spans="1:23" ht="16.5" customHeight="1" x14ac:dyDescent="0.2">
      <c r="B3" s="170" t="s">
        <v>17</v>
      </c>
      <c r="C3" s="171"/>
      <c r="D3" s="171"/>
      <c r="E3" s="171"/>
      <c r="F3" s="171"/>
      <c r="G3" s="171"/>
      <c r="H3" s="171"/>
      <c r="I3" s="171"/>
      <c r="J3" s="172"/>
      <c r="K3" s="171"/>
      <c r="L3" s="171"/>
      <c r="M3" s="171"/>
      <c r="N3" s="171"/>
      <c r="O3" s="173"/>
      <c r="P3" s="174" t="s">
        <v>18</v>
      </c>
    </row>
    <row r="4" spans="1:23" ht="16.5" customHeight="1" x14ac:dyDescent="0.2">
      <c r="B4" s="101" t="s">
        <v>135</v>
      </c>
      <c r="C4" s="102"/>
      <c r="D4" s="103" t="str">
        <f>IF($C4=0," ",$C$4)</f>
        <v xml:space="preserve"> </v>
      </c>
      <c r="E4" s="103" t="str">
        <f t="shared" ref="E4:N4" si="0">IF($C4=0," ",$C$4)</f>
        <v xml:space="preserve"> </v>
      </c>
      <c r="F4" s="103" t="str">
        <f t="shared" si="0"/>
        <v xml:space="preserve"> </v>
      </c>
      <c r="G4" s="103" t="str">
        <f t="shared" si="0"/>
        <v xml:space="preserve"> </v>
      </c>
      <c r="H4" s="103" t="str">
        <f t="shared" si="0"/>
        <v xml:space="preserve"> </v>
      </c>
      <c r="I4" s="103" t="str">
        <f t="shared" si="0"/>
        <v xml:space="preserve"> </v>
      </c>
      <c r="J4" s="103" t="str">
        <f t="shared" si="0"/>
        <v xml:space="preserve"> </v>
      </c>
      <c r="K4" s="103" t="str">
        <f t="shared" si="0"/>
        <v xml:space="preserve"> </v>
      </c>
      <c r="L4" s="103" t="str">
        <f t="shared" si="0"/>
        <v xml:space="preserve"> </v>
      </c>
      <c r="M4" s="103" t="str">
        <f t="shared" si="0"/>
        <v xml:space="preserve"> </v>
      </c>
      <c r="N4" s="103" t="str">
        <f t="shared" si="0"/>
        <v xml:space="preserve"> </v>
      </c>
      <c r="O4" s="104" t="str">
        <f>IF(C4=0,"",SUM(C4:N4))</f>
        <v/>
      </c>
      <c r="P4" s="100">
        <f>IFERROR(O4/$O$7,0)</f>
        <v>0</v>
      </c>
    </row>
    <row r="5" spans="1:23" ht="16.5" customHeight="1" x14ac:dyDescent="0.2">
      <c r="B5" s="101" t="s">
        <v>136</v>
      </c>
      <c r="C5" s="102"/>
      <c r="D5" s="103" t="str">
        <f>IF($C5=0," ",$C$5)</f>
        <v xml:space="preserve"> </v>
      </c>
      <c r="E5" s="103" t="str">
        <f t="shared" ref="E5:M5" si="1">IF($C5=0," ",$C$5)</f>
        <v xml:space="preserve"> </v>
      </c>
      <c r="F5" s="103" t="str">
        <f t="shared" si="1"/>
        <v xml:space="preserve"> </v>
      </c>
      <c r="G5" s="103" t="str">
        <f t="shared" si="1"/>
        <v xml:space="preserve"> </v>
      </c>
      <c r="H5" s="103" t="str">
        <f t="shared" si="1"/>
        <v xml:space="preserve"> </v>
      </c>
      <c r="I5" s="103" t="str">
        <f t="shared" si="1"/>
        <v xml:space="preserve"> </v>
      </c>
      <c r="J5" s="103" t="str">
        <f t="shared" si="1"/>
        <v xml:space="preserve"> </v>
      </c>
      <c r="K5" s="103" t="str">
        <f t="shared" si="1"/>
        <v xml:space="preserve"> </v>
      </c>
      <c r="L5" s="103" t="str">
        <f t="shared" si="1"/>
        <v xml:space="preserve"> </v>
      </c>
      <c r="M5" s="103" t="str">
        <f t="shared" si="1"/>
        <v xml:space="preserve"> </v>
      </c>
      <c r="N5" s="102" t="str">
        <f>IF($C5=0," ",$C$5)</f>
        <v xml:space="preserve"> </v>
      </c>
      <c r="O5" s="104" t="str">
        <f>IF(C5=0,"",SUM(C5:N5))</f>
        <v/>
      </c>
      <c r="P5" s="100">
        <f>IFERROR(O5/$O$7,0)</f>
        <v>0</v>
      </c>
    </row>
    <row r="6" spans="1:23" ht="16.5" customHeight="1" x14ac:dyDescent="0.2">
      <c r="B6" s="101" t="s">
        <v>19</v>
      </c>
      <c r="C6" s="102"/>
      <c r="D6" s="103" t="str">
        <f>IF($C6=0," ",$C$6)</f>
        <v xml:space="preserve"> </v>
      </c>
      <c r="E6" s="103" t="str">
        <f t="shared" ref="E6:N6" si="2">IF($C6=0," ",$C$6)</f>
        <v xml:space="preserve"> </v>
      </c>
      <c r="F6" s="103" t="str">
        <f t="shared" si="2"/>
        <v xml:space="preserve"> </v>
      </c>
      <c r="G6" s="103" t="str">
        <f t="shared" si="2"/>
        <v xml:space="preserve"> </v>
      </c>
      <c r="H6" s="103" t="str">
        <f t="shared" si="2"/>
        <v xml:space="preserve"> </v>
      </c>
      <c r="I6" s="103" t="str">
        <f t="shared" si="2"/>
        <v xml:space="preserve"> </v>
      </c>
      <c r="J6" s="103" t="str">
        <f t="shared" si="2"/>
        <v xml:space="preserve"> </v>
      </c>
      <c r="K6" s="103" t="str">
        <f t="shared" si="2"/>
        <v xml:space="preserve"> </v>
      </c>
      <c r="L6" s="103" t="str">
        <f t="shared" si="2"/>
        <v xml:space="preserve"> </v>
      </c>
      <c r="M6" s="103" t="str">
        <f t="shared" si="2"/>
        <v xml:space="preserve"> </v>
      </c>
      <c r="N6" s="103" t="str">
        <f t="shared" si="2"/>
        <v xml:space="preserve"> </v>
      </c>
      <c r="O6" s="104" t="str">
        <f>IF(C6=0,"",SUM(C6:N6))</f>
        <v/>
      </c>
      <c r="P6" s="100">
        <f>IFERROR(O6/$O$7,0)</f>
        <v>0</v>
      </c>
    </row>
    <row r="7" spans="1:23" ht="16.5" customHeight="1" x14ac:dyDescent="0.2">
      <c r="B7" s="105" t="s">
        <v>20</v>
      </c>
      <c r="C7" s="106">
        <f t="shared" ref="C7:N7" si="3">SUM(C4:C6)</f>
        <v>0</v>
      </c>
      <c r="D7" s="106">
        <f t="shared" si="3"/>
        <v>0</v>
      </c>
      <c r="E7" s="106">
        <f t="shared" si="3"/>
        <v>0</v>
      </c>
      <c r="F7" s="106">
        <f t="shared" si="3"/>
        <v>0</v>
      </c>
      <c r="G7" s="106">
        <f t="shared" si="3"/>
        <v>0</v>
      </c>
      <c r="H7" s="106">
        <f t="shared" si="3"/>
        <v>0</v>
      </c>
      <c r="I7" s="106">
        <f t="shared" si="3"/>
        <v>0</v>
      </c>
      <c r="J7" s="106">
        <f t="shared" si="3"/>
        <v>0</v>
      </c>
      <c r="K7" s="106">
        <f t="shared" si="3"/>
        <v>0</v>
      </c>
      <c r="L7" s="106">
        <f t="shared" si="3"/>
        <v>0</v>
      </c>
      <c r="M7" s="106">
        <f t="shared" si="3"/>
        <v>0</v>
      </c>
      <c r="N7" s="106">
        <f t="shared" si="3"/>
        <v>0</v>
      </c>
      <c r="O7" s="106">
        <f>SUM(C7:N7)</f>
        <v>0</v>
      </c>
      <c r="P7" s="107" t="s">
        <v>21</v>
      </c>
    </row>
    <row r="8" spans="1:23" ht="16.5" customHeight="1" x14ac:dyDescent="0.2">
      <c r="B8" s="108" t="s">
        <v>22</v>
      </c>
      <c r="C8" s="109"/>
      <c r="D8" s="109"/>
      <c r="E8" s="109"/>
      <c r="F8" s="109"/>
      <c r="G8" s="109"/>
      <c r="H8" s="109"/>
      <c r="I8" s="109"/>
      <c r="J8" s="110"/>
      <c r="K8" s="111"/>
      <c r="L8" s="111"/>
      <c r="M8" s="111"/>
      <c r="N8" s="111"/>
      <c r="O8" s="112"/>
      <c r="P8" s="113" t="s">
        <v>23</v>
      </c>
    </row>
    <row r="9" spans="1:23" ht="16.5" customHeight="1" x14ac:dyDescent="0.2">
      <c r="B9" s="114" t="s">
        <v>79</v>
      </c>
      <c r="C9" s="115"/>
      <c r="D9" s="116" t="str">
        <f>IF(C9=0,"",C9)</f>
        <v/>
      </c>
      <c r="E9" s="116" t="str">
        <f t="shared" ref="E9:N9" si="4">D9</f>
        <v/>
      </c>
      <c r="F9" s="116" t="str">
        <f t="shared" si="4"/>
        <v/>
      </c>
      <c r="G9" s="116" t="str">
        <f t="shared" si="4"/>
        <v/>
      </c>
      <c r="H9" s="116" t="str">
        <f t="shared" si="4"/>
        <v/>
      </c>
      <c r="I9" s="116" t="str">
        <f t="shared" si="4"/>
        <v/>
      </c>
      <c r="J9" s="116" t="str">
        <f t="shared" si="4"/>
        <v/>
      </c>
      <c r="K9" s="116" t="str">
        <f t="shared" si="4"/>
        <v/>
      </c>
      <c r="L9" s="116" t="str">
        <f t="shared" si="4"/>
        <v/>
      </c>
      <c r="M9" s="116" t="str">
        <f t="shared" si="4"/>
        <v/>
      </c>
      <c r="N9" s="116" t="str">
        <f t="shared" si="4"/>
        <v/>
      </c>
      <c r="O9" s="116" t="str">
        <f>IF(C9=0,"",SUM(C9:N9))</f>
        <v/>
      </c>
      <c r="P9" s="117">
        <f>IFERROR(O9/$O$7,0)</f>
        <v>0</v>
      </c>
      <c r="R9" s="57"/>
      <c r="S9" s="57"/>
      <c r="T9" s="57"/>
      <c r="U9" s="57"/>
      <c r="V9" s="57"/>
      <c r="W9" s="57"/>
    </row>
    <row r="10" spans="1:23" ht="16.5" customHeight="1" x14ac:dyDescent="0.2">
      <c r="B10" s="114" t="s">
        <v>131</v>
      </c>
      <c r="C10" s="115"/>
      <c r="D10" s="116" t="str">
        <f>IF(C10=0,"",C10)</f>
        <v/>
      </c>
      <c r="E10" s="116" t="str">
        <f t="shared" ref="E10:N10" si="5">D10</f>
        <v/>
      </c>
      <c r="F10" s="116" t="str">
        <f t="shared" si="5"/>
        <v/>
      </c>
      <c r="G10" s="116" t="str">
        <f t="shared" si="5"/>
        <v/>
      </c>
      <c r="H10" s="116" t="str">
        <f t="shared" si="5"/>
        <v/>
      </c>
      <c r="I10" s="116" t="str">
        <f t="shared" si="5"/>
        <v/>
      </c>
      <c r="J10" s="116" t="str">
        <f t="shared" si="5"/>
        <v/>
      </c>
      <c r="K10" s="116" t="str">
        <f t="shared" si="5"/>
        <v/>
      </c>
      <c r="L10" s="116" t="str">
        <f t="shared" si="5"/>
        <v/>
      </c>
      <c r="M10" s="116" t="str">
        <f t="shared" si="5"/>
        <v/>
      </c>
      <c r="N10" s="116" t="str">
        <f t="shared" si="5"/>
        <v/>
      </c>
      <c r="O10" s="116" t="str">
        <f>IF(C10=0,"",SUM(C10:N10))</f>
        <v/>
      </c>
      <c r="P10" s="117">
        <f>IFERROR(O10/$O$7,0)</f>
        <v>0</v>
      </c>
      <c r="R10" s="57"/>
      <c r="S10" s="57"/>
      <c r="T10" s="57"/>
      <c r="U10" s="57"/>
      <c r="V10" s="57"/>
      <c r="W10" s="57"/>
    </row>
    <row r="11" spans="1:23" ht="16.5" customHeight="1" x14ac:dyDescent="0.2">
      <c r="B11" s="114" t="s">
        <v>80</v>
      </c>
      <c r="C11" s="115"/>
      <c r="D11" s="116" t="str">
        <f>IF(C11=0,"",C11)</f>
        <v/>
      </c>
      <c r="E11" s="116" t="str">
        <f t="shared" ref="E11:N11" si="6">D11</f>
        <v/>
      </c>
      <c r="F11" s="116" t="str">
        <f t="shared" si="6"/>
        <v/>
      </c>
      <c r="G11" s="116" t="str">
        <f t="shared" si="6"/>
        <v/>
      </c>
      <c r="H11" s="116" t="str">
        <f t="shared" si="6"/>
        <v/>
      </c>
      <c r="I11" s="116" t="str">
        <f t="shared" si="6"/>
        <v/>
      </c>
      <c r="J11" s="116" t="str">
        <f t="shared" si="6"/>
        <v/>
      </c>
      <c r="K11" s="116" t="str">
        <f t="shared" si="6"/>
        <v/>
      </c>
      <c r="L11" s="116" t="str">
        <f t="shared" si="6"/>
        <v/>
      </c>
      <c r="M11" s="116" t="str">
        <f t="shared" si="6"/>
        <v/>
      </c>
      <c r="N11" s="116" t="str">
        <f t="shared" si="6"/>
        <v/>
      </c>
      <c r="O11" s="116" t="str">
        <f>IF(C11=0,"",SUM(C11:N11))</f>
        <v/>
      </c>
      <c r="P11" s="117">
        <f t="shared" ref="P11:P13" si="7">IFERROR(O11/$O$7,0)</f>
        <v>0</v>
      </c>
      <c r="R11" s="57"/>
      <c r="S11" s="57"/>
      <c r="T11" s="57"/>
      <c r="U11" s="57"/>
      <c r="V11" s="57"/>
      <c r="W11" s="57"/>
    </row>
    <row r="12" spans="1:23" ht="16.5" customHeight="1" x14ac:dyDescent="0.2">
      <c r="B12" s="118" t="s">
        <v>132</v>
      </c>
      <c r="C12" s="119"/>
      <c r="D12" s="116" t="str">
        <f>IF(C12=0,"",C12)</f>
        <v/>
      </c>
      <c r="E12" s="116" t="str">
        <f t="shared" ref="E12:N12" si="8">IF(D12=0,"",D12)</f>
        <v/>
      </c>
      <c r="F12" s="116" t="str">
        <f t="shared" si="8"/>
        <v/>
      </c>
      <c r="G12" s="116" t="str">
        <f t="shared" si="8"/>
        <v/>
      </c>
      <c r="H12" s="116" t="str">
        <f t="shared" si="8"/>
        <v/>
      </c>
      <c r="I12" s="116" t="str">
        <f t="shared" si="8"/>
        <v/>
      </c>
      <c r="J12" s="116" t="str">
        <f t="shared" si="8"/>
        <v/>
      </c>
      <c r="K12" s="116" t="str">
        <f t="shared" si="8"/>
        <v/>
      </c>
      <c r="L12" s="116" t="str">
        <f t="shared" si="8"/>
        <v/>
      </c>
      <c r="M12" s="116" t="str">
        <f t="shared" si="8"/>
        <v/>
      </c>
      <c r="N12" s="116" t="str">
        <f t="shared" si="8"/>
        <v/>
      </c>
      <c r="O12" s="116" t="str">
        <f>IF(C12=0,"",SUM(C12:N12))</f>
        <v/>
      </c>
      <c r="P12" s="117">
        <f t="shared" si="7"/>
        <v>0</v>
      </c>
      <c r="R12" s="57"/>
      <c r="S12" s="57"/>
      <c r="T12" s="57"/>
      <c r="U12" s="57"/>
      <c r="V12" s="57"/>
      <c r="W12" s="57"/>
    </row>
    <row r="13" spans="1:23" ht="16.5" customHeight="1" x14ac:dyDescent="0.2">
      <c r="B13" s="120" t="s">
        <v>81</v>
      </c>
      <c r="C13" s="119"/>
      <c r="D13" s="116" t="str">
        <f>IF(C13=0,"",C13)</f>
        <v/>
      </c>
      <c r="E13" s="116" t="str">
        <f t="shared" ref="E13:N13" si="9">IF(D13=0,"",D13)</f>
        <v/>
      </c>
      <c r="F13" s="116" t="str">
        <f t="shared" si="9"/>
        <v/>
      </c>
      <c r="G13" s="116" t="str">
        <f t="shared" si="9"/>
        <v/>
      </c>
      <c r="H13" s="116" t="str">
        <f t="shared" si="9"/>
        <v/>
      </c>
      <c r="I13" s="116" t="str">
        <f t="shared" si="9"/>
        <v/>
      </c>
      <c r="J13" s="116" t="str">
        <f t="shared" si="9"/>
        <v/>
      </c>
      <c r="K13" s="116" t="str">
        <f t="shared" si="9"/>
        <v/>
      </c>
      <c r="L13" s="116" t="str">
        <f t="shared" si="9"/>
        <v/>
      </c>
      <c r="M13" s="116" t="str">
        <f t="shared" si="9"/>
        <v/>
      </c>
      <c r="N13" s="116" t="str">
        <f t="shared" si="9"/>
        <v/>
      </c>
      <c r="O13" s="116" t="str">
        <f t="shared" ref="O13" si="10">IF(C13=0,"",SUM(C13:N13))</f>
        <v/>
      </c>
      <c r="P13" s="117">
        <f t="shared" si="7"/>
        <v>0</v>
      </c>
      <c r="R13" s="57"/>
      <c r="S13" s="57"/>
      <c r="T13" s="57"/>
      <c r="U13" s="57"/>
      <c r="V13" s="57"/>
      <c r="W13" s="57"/>
    </row>
    <row r="14" spans="1:23" ht="16.5" customHeight="1" x14ac:dyDescent="0.2">
      <c r="B14" s="121" t="s">
        <v>24</v>
      </c>
      <c r="C14" s="122">
        <f t="shared" ref="C14:O14" si="11">SUM(C9:C13)</f>
        <v>0</v>
      </c>
      <c r="D14" s="122">
        <f t="shared" si="11"/>
        <v>0</v>
      </c>
      <c r="E14" s="122">
        <f t="shared" si="11"/>
        <v>0</v>
      </c>
      <c r="F14" s="122">
        <f t="shared" si="11"/>
        <v>0</v>
      </c>
      <c r="G14" s="122">
        <f t="shared" si="11"/>
        <v>0</v>
      </c>
      <c r="H14" s="122">
        <f t="shared" si="11"/>
        <v>0</v>
      </c>
      <c r="I14" s="122">
        <f t="shared" si="11"/>
        <v>0</v>
      </c>
      <c r="J14" s="122">
        <f t="shared" si="11"/>
        <v>0</v>
      </c>
      <c r="K14" s="122">
        <f t="shared" si="11"/>
        <v>0</v>
      </c>
      <c r="L14" s="122">
        <f t="shared" si="11"/>
        <v>0</v>
      </c>
      <c r="M14" s="122">
        <f t="shared" si="11"/>
        <v>0</v>
      </c>
      <c r="N14" s="122">
        <f t="shared" si="11"/>
        <v>0</v>
      </c>
      <c r="O14" s="122">
        <f t="shared" si="11"/>
        <v>0</v>
      </c>
      <c r="P14" s="123">
        <f>IFERROR(O14/$O$7,0)</f>
        <v>0</v>
      </c>
      <c r="R14" s="56"/>
      <c r="S14" s="56"/>
      <c r="T14" s="56"/>
      <c r="U14" s="56"/>
      <c r="V14" s="56"/>
      <c r="W14" s="56"/>
    </row>
    <row r="15" spans="1:23" ht="16.5" customHeight="1" x14ac:dyDescent="0.2">
      <c r="B15" s="124" t="s">
        <v>25</v>
      </c>
      <c r="C15" s="125"/>
      <c r="D15" s="125"/>
      <c r="E15" s="125"/>
      <c r="F15" s="125"/>
      <c r="G15" s="125"/>
      <c r="H15" s="125"/>
      <c r="I15" s="125"/>
      <c r="J15" s="126"/>
      <c r="K15" s="125"/>
      <c r="L15" s="125"/>
      <c r="M15" s="125"/>
      <c r="N15" s="125"/>
      <c r="O15" s="127"/>
      <c r="P15" s="128"/>
    </row>
    <row r="16" spans="1:23" ht="16.5" customHeight="1" x14ac:dyDescent="0.2">
      <c r="B16" s="129" t="s">
        <v>153</v>
      </c>
      <c r="C16" s="130"/>
      <c r="D16" s="131"/>
      <c r="E16" s="131"/>
      <c r="F16" s="131"/>
      <c r="G16" s="131"/>
      <c r="H16" s="131"/>
      <c r="I16" s="131"/>
      <c r="J16" s="132"/>
      <c r="K16" s="131"/>
      <c r="L16" s="131"/>
      <c r="M16" s="131"/>
      <c r="N16" s="131"/>
      <c r="O16" s="133"/>
      <c r="P16" s="134" t="s">
        <v>26</v>
      </c>
    </row>
    <row r="17" spans="1:18" ht="16.5" customHeight="1" x14ac:dyDescent="0.2">
      <c r="B17" s="135" t="s">
        <v>27</v>
      </c>
      <c r="C17" s="136"/>
      <c r="D17" s="137" t="str">
        <f t="shared" ref="D17" si="12">IF(C17=0,"",C17)</f>
        <v/>
      </c>
      <c r="E17" s="137" t="str">
        <f t="shared" ref="E17" si="13">IF(D17=0,"",D17)</f>
        <v/>
      </c>
      <c r="F17" s="137" t="str">
        <f t="shared" ref="F17" si="14">IF(E17=0,"",E17)</f>
        <v/>
      </c>
      <c r="G17" s="137" t="str">
        <f t="shared" ref="G17" si="15">IF(F17=0,"",F17)</f>
        <v/>
      </c>
      <c r="H17" s="137" t="str">
        <f t="shared" ref="H17" si="16">IF(G17=0,"",G17)</f>
        <v/>
      </c>
      <c r="I17" s="137" t="str">
        <f t="shared" ref="I17" si="17">IF(H17=0,"",H17)</f>
        <v/>
      </c>
      <c r="J17" s="137" t="str">
        <f t="shared" ref="J17" si="18">IF(I17=0,"",I17)</f>
        <v/>
      </c>
      <c r="K17" s="137" t="str">
        <f t="shared" ref="K17" si="19">IF(J17=0,"",J17)</f>
        <v/>
      </c>
      <c r="L17" s="137" t="str">
        <f t="shared" ref="L17" si="20">IF(K17=0,"",K17)</f>
        <v/>
      </c>
      <c r="M17" s="137" t="str">
        <f t="shared" ref="M17" si="21">IF(L17=0,"",L17)</f>
        <v/>
      </c>
      <c r="N17" s="137" t="str">
        <f t="shared" ref="N17" si="22">IF(M17=0,"",M17)</f>
        <v/>
      </c>
      <c r="O17" s="180" t="str">
        <f>IF(C17=0,"",SUM(C17:N17))</f>
        <v/>
      </c>
      <c r="P17" s="139">
        <f>IFERROR(O17/$O$7,0)</f>
        <v>0</v>
      </c>
    </row>
    <row r="18" spans="1:18" ht="16.5" customHeight="1" x14ac:dyDescent="0.2">
      <c r="B18" s="177" t="s">
        <v>127</v>
      </c>
      <c r="C18" s="178"/>
      <c r="D18" s="179" t="str">
        <f t="shared" ref="D18:D32" si="23">IF(C18=0,"",C18)</f>
        <v/>
      </c>
      <c r="E18" s="179" t="str">
        <f t="shared" ref="E18:E32" si="24">IF(D18=0,"",D18)</f>
        <v/>
      </c>
      <c r="F18" s="179" t="str">
        <f t="shared" ref="F18:F32" si="25">IF(E18=0,"",E18)</f>
        <v/>
      </c>
      <c r="G18" s="179" t="str">
        <f t="shared" ref="G18:G32" si="26">IF(F18=0,"",F18)</f>
        <v/>
      </c>
      <c r="H18" s="179" t="str">
        <f t="shared" ref="H18:H32" si="27">IF(G18=0,"",G18)</f>
        <v/>
      </c>
      <c r="I18" s="179" t="str">
        <f t="shared" ref="I18:I32" si="28">IF(H18=0,"",H18)</f>
        <v/>
      </c>
      <c r="J18" s="179" t="str">
        <f t="shared" ref="J18:J32" si="29">IF(I18=0,"",I18)</f>
        <v/>
      </c>
      <c r="K18" s="179" t="str">
        <f t="shared" ref="K18:K32" si="30">IF(J18=0,"",J18)</f>
        <v/>
      </c>
      <c r="L18" s="179" t="str">
        <f t="shared" ref="L18:L32" si="31">IF(K18=0,"",K18)</f>
        <v/>
      </c>
      <c r="M18" s="179" t="str">
        <f t="shared" ref="M18:M32" si="32">IF(L18=0,"",L18)</f>
        <v/>
      </c>
      <c r="N18" s="179" t="str">
        <f t="shared" ref="N18:N32" si="33">IF(M18=0,"",M18)</f>
        <v/>
      </c>
      <c r="O18" s="180" t="str">
        <f>IF(C18=0,"",SUM(C18:N18))</f>
        <v/>
      </c>
      <c r="P18" s="139">
        <f t="shared" ref="P18:P33" si="34">IFERROR(O18/$O$7,0)</f>
        <v>0</v>
      </c>
    </row>
    <row r="19" spans="1:18" ht="16.5" customHeight="1" x14ac:dyDescent="0.2">
      <c r="B19" s="177" t="s">
        <v>28</v>
      </c>
      <c r="C19" s="178"/>
      <c r="D19" s="179" t="str">
        <f t="shared" si="23"/>
        <v/>
      </c>
      <c r="E19" s="179" t="str">
        <f t="shared" si="24"/>
        <v/>
      </c>
      <c r="F19" s="179" t="str">
        <f t="shared" si="25"/>
        <v/>
      </c>
      <c r="G19" s="179" t="str">
        <f t="shared" si="26"/>
        <v/>
      </c>
      <c r="H19" s="179" t="str">
        <f t="shared" si="27"/>
        <v/>
      </c>
      <c r="I19" s="179" t="str">
        <f t="shared" si="28"/>
        <v/>
      </c>
      <c r="J19" s="179" t="str">
        <f t="shared" si="29"/>
        <v/>
      </c>
      <c r="K19" s="179" t="str">
        <f t="shared" si="30"/>
        <v/>
      </c>
      <c r="L19" s="179" t="str">
        <f t="shared" si="31"/>
        <v/>
      </c>
      <c r="M19" s="179" t="str">
        <f t="shared" si="32"/>
        <v/>
      </c>
      <c r="N19" s="179" t="str">
        <f t="shared" si="33"/>
        <v/>
      </c>
      <c r="O19" s="180" t="str">
        <f t="shared" ref="O19:O32" si="35">IF(C19=0,"",SUM(C19:N19))</f>
        <v/>
      </c>
      <c r="P19" s="139">
        <f t="shared" si="34"/>
        <v>0</v>
      </c>
    </row>
    <row r="20" spans="1:18" ht="16.5" customHeight="1" x14ac:dyDescent="0.2">
      <c r="B20" s="177" t="s">
        <v>29</v>
      </c>
      <c r="C20" s="178"/>
      <c r="D20" s="179" t="str">
        <f t="shared" si="23"/>
        <v/>
      </c>
      <c r="E20" s="179" t="str">
        <f t="shared" si="24"/>
        <v/>
      </c>
      <c r="F20" s="179" t="str">
        <f t="shared" si="25"/>
        <v/>
      </c>
      <c r="G20" s="179" t="str">
        <f t="shared" si="26"/>
        <v/>
      </c>
      <c r="H20" s="179" t="str">
        <f t="shared" si="27"/>
        <v/>
      </c>
      <c r="I20" s="179" t="str">
        <f t="shared" si="28"/>
        <v/>
      </c>
      <c r="J20" s="179" t="str">
        <f t="shared" si="29"/>
        <v/>
      </c>
      <c r="K20" s="179" t="str">
        <f t="shared" si="30"/>
        <v/>
      </c>
      <c r="L20" s="179" t="str">
        <f t="shared" si="31"/>
        <v/>
      </c>
      <c r="M20" s="179" t="str">
        <f t="shared" si="32"/>
        <v/>
      </c>
      <c r="N20" s="179" t="str">
        <f t="shared" si="33"/>
        <v/>
      </c>
      <c r="O20" s="180" t="str">
        <f t="shared" si="35"/>
        <v/>
      </c>
      <c r="P20" s="139">
        <f t="shared" si="34"/>
        <v>0</v>
      </c>
    </row>
    <row r="21" spans="1:18" ht="16.5" customHeight="1" x14ac:dyDescent="0.2">
      <c r="B21" s="177" t="s">
        <v>30</v>
      </c>
      <c r="C21" s="178"/>
      <c r="D21" s="179" t="str">
        <f t="shared" si="23"/>
        <v/>
      </c>
      <c r="E21" s="179" t="str">
        <f t="shared" si="24"/>
        <v/>
      </c>
      <c r="F21" s="179" t="str">
        <f t="shared" si="25"/>
        <v/>
      </c>
      <c r="G21" s="179" t="str">
        <f t="shared" si="26"/>
        <v/>
      </c>
      <c r="H21" s="179" t="str">
        <f t="shared" si="27"/>
        <v/>
      </c>
      <c r="I21" s="179" t="str">
        <f t="shared" si="28"/>
        <v/>
      </c>
      <c r="J21" s="179" t="str">
        <f t="shared" si="29"/>
        <v/>
      </c>
      <c r="K21" s="179" t="str">
        <f t="shared" si="30"/>
        <v/>
      </c>
      <c r="L21" s="179" t="str">
        <f t="shared" si="31"/>
        <v/>
      </c>
      <c r="M21" s="179" t="str">
        <f t="shared" si="32"/>
        <v/>
      </c>
      <c r="N21" s="179" t="str">
        <f t="shared" si="33"/>
        <v/>
      </c>
      <c r="O21" s="180" t="str">
        <f t="shared" si="35"/>
        <v/>
      </c>
      <c r="P21" s="139">
        <f t="shared" si="34"/>
        <v>0</v>
      </c>
    </row>
    <row r="22" spans="1:18" ht="16.5" customHeight="1" x14ac:dyDescent="0.2">
      <c r="A22" s="181" t="s">
        <v>138</v>
      </c>
      <c r="B22" s="177" t="s">
        <v>128</v>
      </c>
      <c r="C22" s="178"/>
      <c r="D22" s="179" t="str">
        <f t="shared" ref="D22" si="36">IF(C22=0,"",C22)</f>
        <v/>
      </c>
      <c r="E22" s="179" t="str">
        <f t="shared" ref="E22" si="37">IF(D22=0,"",D22)</f>
        <v/>
      </c>
      <c r="F22" s="179" t="str">
        <f t="shared" ref="F22" si="38">IF(E22=0,"",E22)</f>
        <v/>
      </c>
      <c r="G22" s="179" t="str">
        <f t="shared" ref="G22" si="39">IF(F22=0,"",F22)</f>
        <v/>
      </c>
      <c r="H22" s="179" t="str">
        <f t="shared" ref="H22" si="40">IF(G22=0,"",G22)</f>
        <v/>
      </c>
      <c r="I22" s="179" t="str">
        <f t="shared" ref="I22" si="41">IF(H22=0,"",H22)</f>
        <v/>
      </c>
      <c r="J22" s="179" t="str">
        <f t="shared" ref="J22" si="42">IF(I22=0,"",I22)</f>
        <v/>
      </c>
      <c r="K22" s="179" t="str">
        <f t="shared" ref="K22" si="43">IF(J22=0,"",J22)</f>
        <v/>
      </c>
      <c r="L22" s="179" t="str">
        <f t="shared" ref="L22" si="44">IF(K22=0,"",K22)</f>
        <v/>
      </c>
      <c r="M22" s="179" t="str">
        <f t="shared" ref="M22" si="45">IF(L22=0,"",L22)</f>
        <v/>
      </c>
      <c r="N22" s="179" t="str">
        <f t="shared" ref="N22" si="46">IF(M22=0,"",M22)</f>
        <v/>
      </c>
      <c r="O22" s="180" t="str">
        <f t="shared" ref="O22" si="47">IF(C22=0,"",SUM(C22:N22))</f>
        <v/>
      </c>
      <c r="P22" s="139">
        <f t="shared" si="34"/>
        <v>0</v>
      </c>
    </row>
    <row r="23" spans="1:18" ht="16.5" customHeight="1" x14ac:dyDescent="0.2">
      <c r="B23" s="177" t="s">
        <v>128</v>
      </c>
      <c r="C23" s="178"/>
      <c r="D23" s="179" t="str">
        <f t="shared" si="23"/>
        <v/>
      </c>
      <c r="E23" s="179" t="str">
        <f t="shared" si="24"/>
        <v/>
      </c>
      <c r="F23" s="179" t="str">
        <f t="shared" si="25"/>
        <v/>
      </c>
      <c r="G23" s="179" t="str">
        <f t="shared" si="26"/>
        <v/>
      </c>
      <c r="H23" s="179" t="str">
        <f t="shared" si="27"/>
        <v/>
      </c>
      <c r="I23" s="179" t="str">
        <f t="shared" si="28"/>
        <v/>
      </c>
      <c r="J23" s="179" t="str">
        <f t="shared" si="29"/>
        <v/>
      </c>
      <c r="K23" s="179" t="str">
        <f t="shared" si="30"/>
        <v/>
      </c>
      <c r="L23" s="179" t="str">
        <f t="shared" si="31"/>
        <v/>
      </c>
      <c r="M23" s="179" t="str">
        <f t="shared" si="32"/>
        <v/>
      </c>
      <c r="N23" s="179" t="str">
        <f t="shared" si="33"/>
        <v/>
      </c>
      <c r="O23" s="180" t="str">
        <f t="shared" si="35"/>
        <v/>
      </c>
      <c r="P23" s="139">
        <f t="shared" si="34"/>
        <v>0</v>
      </c>
    </row>
    <row r="24" spans="1:18" ht="16.5" customHeight="1" x14ac:dyDescent="0.2">
      <c r="B24" s="177" t="s">
        <v>129</v>
      </c>
      <c r="C24" s="178"/>
      <c r="D24" s="179" t="str">
        <f t="shared" si="23"/>
        <v/>
      </c>
      <c r="E24" s="179" t="str">
        <f t="shared" si="24"/>
        <v/>
      </c>
      <c r="F24" s="179" t="str">
        <f t="shared" si="25"/>
        <v/>
      </c>
      <c r="G24" s="179" t="str">
        <f t="shared" si="26"/>
        <v/>
      </c>
      <c r="H24" s="179" t="str">
        <f t="shared" si="27"/>
        <v/>
      </c>
      <c r="I24" s="179" t="str">
        <f t="shared" si="28"/>
        <v/>
      </c>
      <c r="J24" s="179" t="str">
        <f t="shared" si="29"/>
        <v/>
      </c>
      <c r="K24" s="179" t="str">
        <f t="shared" si="30"/>
        <v/>
      </c>
      <c r="L24" s="179" t="str">
        <f t="shared" si="31"/>
        <v/>
      </c>
      <c r="M24" s="179" t="str">
        <f t="shared" si="32"/>
        <v/>
      </c>
      <c r="N24" s="179" t="str">
        <f t="shared" si="33"/>
        <v/>
      </c>
      <c r="O24" s="180" t="str">
        <f t="shared" si="35"/>
        <v/>
      </c>
      <c r="P24" s="139">
        <f t="shared" si="34"/>
        <v>0</v>
      </c>
    </row>
    <row r="25" spans="1:18" ht="16.5" customHeight="1" x14ac:dyDescent="0.2">
      <c r="B25" s="135" t="s">
        <v>130</v>
      </c>
      <c r="C25" s="178"/>
      <c r="D25" s="179" t="str">
        <f t="shared" si="23"/>
        <v/>
      </c>
      <c r="E25" s="190" t="str">
        <f t="shared" si="24"/>
        <v/>
      </c>
      <c r="F25" s="190" t="str">
        <f t="shared" si="25"/>
        <v/>
      </c>
      <c r="G25" s="190" t="str">
        <f t="shared" si="26"/>
        <v/>
      </c>
      <c r="H25" s="190" t="str">
        <f t="shared" si="27"/>
        <v/>
      </c>
      <c r="I25" s="190" t="str">
        <f t="shared" si="28"/>
        <v/>
      </c>
      <c r="J25" s="190" t="str">
        <f t="shared" si="29"/>
        <v/>
      </c>
      <c r="K25" s="190" t="str">
        <f t="shared" si="30"/>
        <v/>
      </c>
      <c r="L25" s="190" t="str">
        <f t="shared" si="31"/>
        <v/>
      </c>
      <c r="M25" s="190" t="str">
        <f t="shared" si="32"/>
        <v/>
      </c>
      <c r="N25" s="190" t="str">
        <f t="shared" si="33"/>
        <v/>
      </c>
      <c r="O25" s="138" t="str">
        <f t="shared" si="35"/>
        <v/>
      </c>
      <c r="P25" s="139">
        <f t="shared" si="34"/>
        <v>0</v>
      </c>
    </row>
    <row r="26" spans="1:18" ht="16.5" customHeight="1" x14ac:dyDescent="0.2">
      <c r="B26" s="135" t="s">
        <v>83</v>
      </c>
      <c r="C26" s="178"/>
      <c r="D26" s="179" t="str">
        <f t="shared" si="23"/>
        <v/>
      </c>
      <c r="E26" s="186" t="str">
        <f t="shared" si="24"/>
        <v/>
      </c>
      <c r="F26" s="186" t="str">
        <f t="shared" si="25"/>
        <v/>
      </c>
      <c r="G26" s="186" t="str">
        <f t="shared" si="26"/>
        <v/>
      </c>
      <c r="H26" s="186" t="str">
        <f t="shared" si="27"/>
        <v/>
      </c>
      <c r="I26" s="186" t="str">
        <f t="shared" si="28"/>
        <v/>
      </c>
      <c r="J26" s="186" t="str">
        <f t="shared" si="29"/>
        <v/>
      </c>
      <c r="K26" s="186" t="str">
        <f t="shared" si="30"/>
        <v/>
      </c>
      <c r="L26" s="186" t="str">
        <f t="shared" si="31"/>
        <v/>
      </c>
      <c r="M26" s="186" t="str">
        <f t="shared" si="32"/>
        <v/>
      </c>
      <c r="N26" s="186" t="str">
        <f t="shared" si="33"/>
        <v/>
      </c>
      <c r="O26" s="138" t="str">
        <f t="shared" si="35"/>
        <v/>
      </c>
      <c r="P26" s="139">
        <f t="shared" si="34"/>
        <v>0</v>
      </c>
    </row>
    <row r="27" spans="1:18" ht="16.5" customHeight="1" x14ac:dyDescent="0.2">
      <c r="B27" s="135" t="s">
        <v>137</v>
      </c>
      <c r="C27" s="178"/>
      <c r="D27" s="179" t="str">
        <f t="shared" si="23"/>
        <v/>
      </c>
      <c r="E27" s="186" t="str">
        <f t="shared" si="24"/>
        <v/>
      </c>
      <c r="F27" s="186" t="str">
        <f t="shared" si="25"/>
        <v/>
      </c>
      <c r="G27" s="186" t="str">
        <f t="shared" si="26"/>
        <v/>
      </c>
      <c r="H27" s="186" t="str">
        <f t="shared" si="27"/>
        <v/>
      </c>
      <c r="I27" s="186" t="str">
        <f t="shared" si="28"/>
        <v/>
      </c>
      <c r="J27" s="186" t="str">
        <f t="shared" si="29"/>
        <v/>
      </c>
      <c r="K27" s="186" t="str">
        <f t="shared" si="30"/>
        <v/>
      </c>
      <c r="L27" s="186" t="str">
        <f t="shared" si="31"/>
        <v/>
      </c>
      <c r="M27" s="186" t="str">
        <f t="shared" si="32"/>
        <v/>
      </c>
      <c r="N27" s="186" t="str">
        <f t="shared" si="33"/>
        <v/>
      </c>
      <c r="O27" s="138" t="str">
        <f t="shared" si="35"/>
        <v/>
      </c>
      <c r="P27" s="139">
        <f t="shared" si="34"/>
        <v>0</v>
      </c>
      <c r="R27" s="55"/>
    </row>
    <row r="28" spans="1:18" ht="16.5" customHeight="1" x14ac:dyDescent="0.2">
      <c r="B28" s="135" t="s">
        <v>31</v>
      </c>
      <c r="C28" s="178"/>
      <c r="D28" s="179" t="str">
        <f t="shared" si="23"/>
        <v/>
      </c>
      <c r="E28" s="186" t="str">
        <f t="shared" si="24"/>
        <v/>
      </c>
      <c r="F28" s="186" t="str">
        <f t="shared" si="25"/>
        <v/>
      </c>
      <c r="G28" s="186" t="str">
        <f t="shared" si="26"/>
        <v/>
      </c>
      <c r="H28" s="186" t="str">
        <f t="shared" si="27"/>
        <v/>
      </c>
      <c r="I28" s="186" t="str">
        <f t="shared" si="28"/>
        <v/>
      </c>
      <c r="J28" s="186" t="str">
        <f t="shared" si="29"/>
        <v/>
      </c>
      <c r="K28" s="186" t="str">
        <f t="shared" si="30"/>
        <v/>
      </c>
      <c r="L28" s="186" t="str">
        <f t="shared" si="31"/>
        <v/>
      </c>
      <c r="M28" s="186" t="str">
        <f t="shared" si="32"/>
        <v/>
      </c>
      <c r="N28" s="186" t="str">
        <f t="shared" si="33"/>
        <v/>
      </c>
      <c r="O28" s="138" t="str">
        <f t="shared" si="35"/>
        <v/>
      </c>
      <c r="P28" s="139">
        <f t="shared" si="34"/>
        <v>0</v>
      </c>
      <c r="R28" s="55"/>
    </row>
    <row r="29" spans="1:18" ht="16.5" customHeight="1" x14ac:dyDescent="0.2">
      <c r="B29" s="135" t="s">
        <v>32</v>
      </c>
      <c r="C29" s="178"/>
      <c r="D29" s="179" t="str">
        <f t="shared" si="23"/>
        <v/>
      </c>
      <c r="E29" s="186" t="str">
        <f t="shared" si="24"/>
        <v/>
      </c>
      <c r="F29" s="186" t="str">
        <f t="shared" si="25"/>
        <v/>
      </c>
      <c r="G29" s="186" t="str">
        <f t="shared" si="26"/>
        <v/>
      </c>
      <c r="H29" s="186" t="str">
        <f t="shared" si="27"/>
        <v/>
      </c>
      <c r="I29" s="186" t="str">
        <f t="shared" si="28"/>
        <v/>
      </c>
      <c r="J29" s="186" t="str">
        <f t="shared" si="29"/>
        <v/>
      </c>
      <c r="K29" s="186" t="str">
        <f t="shared" si="30"/>
        <v/>
      </c>
      <c r="L29" s="186" t="str">
        <f t="shared" si="31"/>
        <v/>
      </c>
      <c r="M29" s="186" t="str">
        <f t="shared" si="32"/>
        <v/>
      </c>
      <c r="N29" s="186" t="str">
        <f t="shared" si="33"/>
        <v/>
      </c>
      <c r="O29" s="138" t="str">
        <f t="shared" si="35"/>
        <v/>
      </c>
      <c r="P29" s="139">
        <f t="shared" si="34"/>
        <v>0</v>
      </c>
      <c r="R29" s="55"/>
    </row>
    <row r="30" spans="1:18" ht="16.5" customHeight="1" x14ac:dyDescent="0.2">
      <c r="B30" s="135" t="s">
        <v>157</v>
      </c>
      <c r="C30" s="178"/>
      <c r="D30" s="179" t="str">
        <f t="shared" ref="D30" si="48">IF(C30=0,"",C30)</f>
        <v/>
      </c>
      <c r="E30" s="186" t="str">
        <f t="shared" ref="E30" si="49">IF(D30=0,"",D30)</f>
        <v/>
      </c>
      <c r="F30" s="186" t="str">
        <f t="shared" ref="F30" si="50">IF(E30=0,"",E30)</f>
        <v/>
      </c>
      <c r="G30" s="186" t="str">
        <f t="shared" ref="G30" si="51">IF(F30=0,"",F30)</f>
        <v/>
      </c>
      <c r="H30" s="186" t="str">
        <f t="shared" ref="H30" si="52">IF(G30=0,"",G30)</f>
        <v/>
      </c>
      <c r="I30" s="186" t="str">
        <f t="shared" ref="I30" si="53">IF(H30=0,"",H30)</f>
        <v/>
      </c>
      <c r="J30" s="186" t="str">
        <f t="shared" ref="J30" si="54">IF(I30=0,"",I30)</f>
        <v/>
      </c>
      <c r="K30" s="186" t="str">
        <f t="shared" ref="K30" si="55">IF(J30=0,"",J30)</f>
        <v/>
      </c>
      <c r="L30" s="186" t="str">
        <f t="shared" ref="L30" si="56">IF(K30=0,"",K30)</f>
        <v/>
      </c>
      <c r="M30" s="186" t="str">
        <f t="shared" ref="M30" si="57">IF(L30=0,"",L30)</f>
        <v/>
      </c>
      <c r="N30" s="186" t="str">
        <f t="shared" ref="N30" si="58">IF(M30=0,"",M30)</f>
        <v/>
      </c>
      <c r="O30" s="138" t="str">
        <f t="shared" ref="O30" si="59">IF(C30=0,"",SUM(C30:N30))</f>
        <v/>
      </c>
      <c r="P30" s="139">
        <f t="shared" ref="P30" si="60">IFERROR(O30/$O$7,0)</f>
        <v>0</v>
      </c>
      <c r="R30" s="55"/>
    </row>
    <row r="31" spans="1:18" ht="16.5" customHeight="1" x14ac:dyDescent="0.2">
      <c r="B31" s="135" t="s">
        <v>157</v>
      </c>
      <c r="C31" s="178"/>
      <c r="D31" s="179" t="str">
        <f t="shared" si="23"/>
        <v/>
      </c>
      <c r="E31" s="186" t="str">
        <f t="shared" si="24"/>
        <v/>
      </c>
      <c r="F31" s="186" t="str">
        <f t="shared" si="25"/>
        <v/>
      </c>
      <c r="G31" s="186" t="str">
        <f t="shared" si="26"/>
        <v/>
      </c>
      <c r="H31" s="186" t="str">
        <f t="shared" si="27"/>
        <v/>
      </c>
      <c r="I31" s="186" t="str">
        <f t="shared" si="28"/>
        <v/>
      </c>
      <c r="J31" s="186" t="str">
        <f t="shared" si="29"/>
        <v/>
      </c>
      <c r="K31" s="186" t="str">
        <f t="shared" si="30"/>
        <v/>
      </c>
      <c r="L31" s="186" t="str">
        <f t="shared" si="31"/>
        <v/>
      </c>
      <c r="M31" s="186" t="str">
        <f t="shared" si="32"/>
        <v/>
      </c>
      <c r="N31" s="186" t="str">
        <f t="shared" si="33"/>
        <v/>
      </c>
      <c r="O31" s="138" t="str">
        <f t="shared" si="35"/>
        <v/>
      </c>
      <c r="P31" s="139">
        <f t="shared" si="34"/>
        <v>0</v>
      </c>
      <c r="R31" s="55"/>
    </row>
    <row r="32" spans="1:18" ht="16.5" customHeight="1" x14ac:dyDescent="0.2">
      <c r="B32" s="135" t="s">
        <v>157</v>
      </c>
      <c r="C32" s="178"/>
      <c r="D32" s="186" t="str">
        <f t="shared" si="23"/>
        <v/>
      </c>
      <c r="E32" s="186" t="str">
        <f t="shared" si="24"/>
        <v/>
      </c>
      <c r="F32" s="186" t="str">
        <f t="shared" si="25"/>
        <v/>
      </c>
      <c r="G32" s="186" t="str">
        <f t="shared" si="26"/>
        <v/>
      </c>
      <c r="H32" s="186" t="str">
        <f t="shared" si="27"/>
        <v/>
      </c>
      <c r="I32" s="186" t="str">
        <f t="shared" si="28"/>
        <v/>
      </c>
      <c r="J32" s="186" t="str">
        <f t="shared" si="29"/>
        <v/>
      </c>
      <c r="K32" s="186" t="str">
        <f t="shared" si="30"/>
        <v/>
      </c>
      <c r="L32" s="186" t="str">
        <f t="shared" si="31"/>
        <v/>
      </c>
      <c r="M32" s="186" t="str">
        <f t="shared" si="32"/>
        <v/>
      </c>
      <c r="N32" s="186" t="str">
        <f t="shared" si="33"/>
        <v/>
      </c>
      <c r="O32" s="138" t="str">
        <f t="shared" si="35"/>
        <v/>
      </c>
      <c r="P32" s="139">
        <f t="shared" si="34"/>
        <v>0</v>
      </c>
      <c r="R32" s="55"/>
    </row>
    <row r="33" spans="2:16" ht="16.5" customHeight="1" x14ac:dyDescent="0.2">
      <c r="B33" s="140" t="s">
        <v>34</v>
      </c>
      <c r="C33" s="130">
        <f t="shared" ref="C33:N33" si="61">SUM(C17:C32)</f>
        <v>0</v>
      </c>
      <c r="D33" s="141">
        <f t="shared" si="61"/>
        <v>0</v>
      </c>
      <c r="E33" s="141">
        <f t="shared" si="61"/>
        <v>0</v>
      </c>
      <c r="F33" s="141">
        <f t="shared" si="61"/>
        <v>0</v>
      </c>
      <c r="G33" s="141">
        <f t="shared" si="61"/>
        <v>0</v>
      </c>
      <c r="H33" s="141">
        <f t="shared" si="61"/>
        <v>0</v>
      </c>
      <c r="I33" s="141">
        <f t="shared" si="61"/>
        <v>0</v>
      </c>
      <c r="J33" s="142">
        <f t="shared" si="61"/>
        <v>0</v>
      </c>
      <c r="K33" s="141">
        <f t="shared" si="61"/>
        <v>0</v>
      </c>
      <c r="L33" s="141">
        <f t="shared" si="61"/>
        <v>0</v>
      </c>
      <c r="M33" s="141">
        <f t="shared" si="61"/>
        <v>0</v>
      </c>
      <c r="N33" s="141">
        <f t="shared" si="61"/>
        <v>0</v>
      </c>
      <c r="O33" s="143">
        <f t="shared" ref="O33" si="62">SUM(C33:N33)</f>
        <v>0</v>
      </c>
      <c r="P33" s="150">
        <f t="shared" si="34"/>
        <v>0</v>
      </c>
    </row>
    <row r="34" spans="2:16" ht="16.5" customHeight="1" x14ac:dyDescent="0.2">
      <c r="B34" s="144" t="s">
        <v>154</v>
      </c>
      <c r="C34" s="145"/>
      <c r="D34" s="145"/>
      <c r="E34" s="145"/>
      <c r="F34" s="145"/>
      <c r="G34" s="145"/>
      <c r="H34" s="145"/>
      <c r="I34" s="145"/>
      <c r="J34" s="146"/>
      <c r="K34" s="145"/>
      <c r="L34" s="145"/>
      <c r="M34" s="145"/>
      <c r="N34" s="145"/>
      <c r="O34" s="147"/>
      <c r="P34" s="134"/>
    </row>
    <row r="35" spans="2:16" ht="16.5" customHeight="1" x14ac:dyDescent="0.2">
      <c r="B35" s="135" t="s">
        <v>35</v>
      </c>
      <c r="C35" s="148"/>
      <c r="D35" s="137" t="str">
        <f t="shared" ref="D35" si="63">IF(C35=0,"",C35)</f>
        <v/>
      </c>
      <c r="E35" s="137" t="str">
        <f t="shared" ref="E35" si="64">IF(D35=0,"",D35)</f>
        <v/>
      </c>
      <c r="F35" s="137" t="str">
        <f t="shared" ref="F35" si="65">IF(E35=0,"",E35)</f>
        <v/>
      </c>
      <c r="G35" s="137" t="str">
        <f t="shared" ref="G35" si="66">IF(F35=0,"",F35)</f>
        <v/>
      </c>
      <c r="H35" s="137" t="str">
        <f t="shared" ref="H35" si="67">IF(G35=0,"",G35)</f>
        <v/>
      </c>
      <c r="I35" s="137" t="str">
        <f t="shared" ref="I35" si="68">IF(H35=0,"",H35)</f>
        <v/>
      </c>
      <c r="J35" s="137" t="str">
        <f t="shared" ref="J35" si="69">IF(I35=0,"",I35)</f>
        <v/>
      </c>
      <c r="K35" s="137" t="str">
        <f t="shared" ref="K35" si="70">IF(J35=0,"",J35)</f>
        <v/>
      </c>
      <c r="L35" s="137" t="str">
        <f t="shared" ref="L35" si="71">IF(K35=0,"",K35)</f>
        <v/>
      </c>
      <c r="M35" s="137" t="str">
        <f t="shared" ref="M35" si="72">IF(L35=0,"",L35)</f>
        <v/>
      </c>
      <c r="N35" s="137" t="str">
        <f t="shared" ref="N35" si="73">IF(M35=0,"",M35)</f>
        <v/>
      </c>
      <c r="O35" s="138" t="str">
        <f t="shared" ref="O35:O41" si="74">IF(C35=0,"",SUM(C35:N35))</f>
        <v/>
      </c>
      <c r="P35" s="139">
        <f>IFERROR(O35/$O$7,0)</f>
        <v>0</v>
      </c>
    </row>
    <row r="36" spans="2:16" ht="16.5" customHeight="1" x14ac:dyDescent="0.2">
      <c r="B36" s="135" t="s">
        <v>36</v>
      </c>
      <c r="C36" s="148"/>
      <c r="D36" s="137" t="str">
        <f t="shared" ref="D36:D41" si="75">IF(C36=0,"",C36)</f>
        <v/>
      </c>
      <c r="E36" s="137" t="str">
        <f t="shared" ref="E36:E41" si="76">IF(D36=0,"",D36)</f>
        <v/>
      </c>
      <c r="F36" s="137" t="str">
        <f t="shared" ref="F36:F41" si="77">IF(E36=0,"",E36)</f>
        <v/>
      </c>
      <c r="G36" s="137" t="str">
        <f t="shared" ref="G36:G41" si="78">IF(F36=0,"",F36)</f>
        <v/>
      </c>
      <c r="H36" s="137" t="str">
        <f t="shared" ref="H36:H41" si="79">IF(G36=0,"",G36)</f>
        <v/>
      </c>
      <c r="I36" s="137" t="str">
        <f t="shared" ref="I36:I41" si="80">IF(H36=0,"",H36)</f>
        <v/>
      </c>
      <c r="J36" s="137" t="str">
        <f t="shared" ref="J36:J41" si="81">IF(I36=0,"",I36)</f>
        <v/>
      </c>
      <c r="K36" s="137" t="str">
        <f t="shared" ref="K36:K41" si="82">IF(J36=0,"",J36)</f>
        <v/>
      </c>
      <c r="L36" s="137" t="str">
        <f t="shared" ref="L36:L41" si="83">IF(K36=0,"",K36)</f>
        <v/>
      </c>
      <c r="M36" s="137" t="str">
        <f t="shared" ref="M36:M41" si="84">IF(L36=0,"",L36)</f>
        <v/>
      </c>
      <c r="N36" s="137" t="str">
        <f t="shared" ref="N36:N41" si="85">IF(M36=0,"",M36)</f>
        <v/>
      </c>
      <c r="O36" s="138" t="str">
        <f t="shared" si="74"/>
        <v/>
      </c>
      <c r="P36" s="139">
        <f t="shared" ref="P36:P43" si="86">IFERROR(O36/$O$7,0)</f>
        <v>0</v>
      </c>
    </row>
    <row r="37" spans="2:16" ht="16.5" customHeight="1" x14ac:dyDescent="0.2">
      <c r="B37" s="135" t="s">
        <v>156</v>
      </c>
      <c r="C37" s="148"/>
      <c r="D37" s="137" t="str">
        <f t="shared" si="75"/>
        <v/>
      </c>
      <c r="E37" s="137" t="str">
        <f t="shared" si="76"/>
        <v/>
      </c>
      <c r="F37" s="137" t="str">
        <f t="shared" si="77"/>
        <v/>
      </c>
      <c r="G37" s="137" t="str">
        <f t="shared" si="78"/>
        <v/>
      </c>
      <c r="H37" s="137" t="str">
        <f t="shared" si="79"/>
        <v/>
      </c>
      <c r="I37" s="137" t="str">
        <f t="shared" si="80"/>
        <v/>
      </c>
      <c r="J37" s="137" t="str">
        <f t="shared" si="81"/>
        <v/>
      </c>
      <c r="K37" s="137" t="str">
        <f t="shared" si="82"/>
        <v/>
      </c>
      <c r="L37" s="137" t="str">
        <f t="shared" si="83"/>
        <v/>
      </c>
      <c r="M37" s="137" t="str">
        <f t="shared" si="84"/>
        <v/>
      </c>
      <c r="N37" s="137" t="str">
        <f t="shared" si="85"/>
        <v/>
      </c>
      <c r="O37" s="138" t="str">
        <f t="shared" si="74"/>
        <v/>
      </c>
      <c r="P37" s="139">
        <f t="shared" si="86"/>
        <v>0</v>
      </c>
    </row>
    <row r="38" spans="2:16" ht="16.5" customHeight="1" x14ac:dyDescent="0.2">
      <c r="B38" s="135" t="s">
        <v>155</v>
      </c>
      <c r="C38" s="148"/>
      <c r="D38" s="137" t="str">
        <f t="shared" ref="D38" si="87">IF(C38=0,"",C38)</f>
        <v/>
      </c>
      <c r="E38" s="137" t="str">
        <f t="shared" ref="E38" si="88">IF(D38=0,"",D38)</f>
        <v/>
      </c>
      <c r="F38" s="137" t="str">
        <f t="shared" ref="F38" si="89">IF(E38=0,"",E38)</f>
        <v/>
      </c>
      <c r="G38" s="137" t="str">
        <f t="shared" ref="G38" si="90">IF(F38=0,"",F38)</f>
        <v/>
      </c>
      <c r="H38" s="137" t="str">
        <f t="shared" ref="H38" si="91">IF(G38=0,"",G38)</f>
        <v/>
      </c>
      <c r="I38" s="137" t="str">
        <f t="shared" ref="I38" si="92">IF(H38=0,"",H38)</f>
        <v/>
      </c>
      <c r="J38" s="137" t="str">
        <f t="shared" ref="J38" si="93">IF(I38=0,"",I38)</f>
        <v/>
      </c>
      <c r="K38" s="137" t="str">
        <f t="shared" ref="K38" si="94">IF(J38=0,"",J38)</f>
        <v/>
      </c>
      <c r="L38" s="137" t="str">
        <f t="shared" ref="L38" si="95">IF(K38=0,"",K38)</f>
        <v/>
      </c>
      <c r="M38" s="137" t="str">
        <f t="shared" ref="M38" si="96">IF(L38=0,"",L38)</f>
        <v/>
      </c>
      <c r="N38" s="137" t="str">
        <f t="shared" ref="N38" si="97">IF(M38=0,"",M38)</f>
        <v/>
      </c>
      <c r="O38" s="138" t="str">
        <f t="shared" ref="O38" si="98">IF(C38=0,"",SUM(C38:N38))</f>
        <v/>
      </c>
      <c r="P38" s="139"/>
    </row>
    <row r="39" spans="2:16" ht="16.5" customHeight="1" x14ac:dyDescent="0.2">
      <c r="B39" s="135" t="s">
        <v>37</v>
      </c>
      <c r="C39" s="148"/>
      <c r="D39" s="137" t="str">
        <f t="shared" si="75"/>
        <v/>
      </c>
      <c r="E39" s="137" t="str">
        <f t="shared" si="76"/>
        <v/>
      </c>
      <c r="F39" s="137" t="str">
        <f t="shared" si="77"/>
        <v/>
      </c>
      <c r="G39" s="137" t="str">
        <f t="shared" si="78"/>
        <v/>
      </c>
      <c r="H39" s="137" t="str">
        <f t="shared" si="79"/>
        <v/>
      </c>
      <c r="I39" s="137" t="str">
        <f t="shared" si="80"/>
        <v/>
      </c>
      <c r="J39" s="137" t="str">
        <f t="shared" si="81"/>
        <v/>
      </c>
      <c r="K39" s="137" t="str">
        <f t="shared" si="82"/>
        <v/>
      </c>
      <c r="L39" s="137" t="str">
        <f t="shared" si="83"/>
        <v/>
      </c>
      <c r="M39" s="137" t="str">
        <f t="shared" si="84"/>
        <v/>
      </c>
      <c r="N39" s="137" t="str">
        <f t="shared" si="85"/>
        <v/>
      </c>
      <c r="O39" s="138" t="str">
        <f t="shared" si="74"/>
        <v/>
      </c>
      <c r="P39" s="139">
        <f t="shared" si="86"/>
        <v>0</v>
      </c>
    </row>
    <row r="40" spans="2:16" ht="16.5" customHeight="1" x14ac:dyDescent="0.2">
      <c r="B40" s="135" t="s">
        <v>158</v>
      </c>
      <c r="C40" s="148"/>
      <c r="D40" s="137" t="str">
        <f t="shared" ref="D40" si="99">IF(C40=0,"",C40)</f>
        <v/>
      </c>
      <c r="E40" s="137" t="str">
        <f t="shared" ref="E40" si="100">IF(D40=0,"",D40)</f>
        <v/>
      </c>
      <c r="F40" s="137" t="str">
        <f t="shared" ref="F40" si="101">IF(E40=0,"",E40)</f>
        <v/>
      </c>
      <c r="G40" s="137" t="str">
        <f t="shared" ref="G40" si="102">IF(F40=0,"",F40)</f>
        <v/>
      </c>
      <c r="H40" s="137" t="str">
        <f t="shared" ref="H40" si="103">IF(G40=0,"",G40)</f>
        <v/>
      </c>
      <c r="I40" s="137" t="str">
        <f t="shared" ref="I40" si="104">IF(H40=0,"",H40)</f>
        <v/>
      </c>
      <c r="J40" s="137" t="str">
        <f t="shared" ref="J40" si="105">IF(I40=0,"",I40)</f>
        <v/>
      </c>
      <c r="K40" s="137" t="str">
        <f t="shared" ref="K40" si="106">IF(J40=0,"",J40)</f>
        <v/>
      </c>
      <c r="L40" s="137" t="str">
        <f t="shared" ref="L40" si="107">IF(K40=0,"",K40)</f>
        <v/>
      </c>
      <c r="M40" s="137" t="str">
        <f t="shared" ref="M40" si="108">IF(L40=0,"",L40)</f>
        <v/>
      </c>
      <c r="N40" s="137" t="str">
        <f t="shared" ref="N40" si="109">IF(M40=0,"",M40)</f>
        <v/>
      </c>
      <c r="O40" s="138" t="str">
        <f t="shared" ref="O40" si="110">IF(C40=0,"",SUM(C40:N40))</f>
        <v/>
      </c>
      <c r="P40" s="139">
        <f t="shared" ref="P40" si="111">IFERROR(O40/$O$7,0)</f>
        <v>0</v>
      </c>
    </row>
    <row r="41" spans="2:16" ht="16.5" customHeight="1" x14ac:dyDescent="0.2">
      <c r="B41" s="135" t="s">
        <v>158</v>
      </c>
      <c r="C41" s="148"/>
      <c r="D41" s="137" t="str">
        <f t="shared" si="75"/>
        <v/>
      </c>
      <c r="E41" s="137" t="str">
        <f t="shared" si="76"/>
        <v/>
      </c>
      <c r="F41" s="137" t="str">
        <f t="shared" si="77"/>
        <v/>
      </c>
      <c r="G41" s="137" t="str">
        <f t="shared" si="78"/>
        <v/>
      </c>
      <c r="H41" s="137" t="str">
        <f t="shared" si="79"/>
        <v/>
      </c>
      <c r="I41" s="137" t="str">
        <f t="shared" si="80"/>
        <v/>
      </c>
      <c r="J41" s="137" t="str">
        <f t="shared" si="81"/>
        <v/>
      </c>
      <c r="K41" s="137" t="str">
        <f t="shared" si="82"/>
        <v/>
      </c>
      <c r="L41" s="137" t="str">
        <f t="shared" si="83"/>
        <v/>
      </c>
      <c r="M41" s="137" t="str">
        <f t="shared" si="84"/>
        <v/>
      </c>
      <c r="N41" s="137" t="str">
        <f t="shared" si="85"/>
        <v/>
      </c>
      <c r="O41" s="138" t="str">
        <f t="shared" si="74"/>
        <v/>
      </c>
      <c r="P41" s="139">
        <f t="shared" si="86"/>
        <v>0</v>
      </c>
    </row>
    <row r="42" spans="2:16" ht="16.5" customHeight="1" x14ac:dyDescent="0.2">
      <c r="B42" s="140" t="s">
        <v>38</v>
      </c>
      <c r="C42" s="130">
        <f t="shared" ref="C42:N42" si="112">SUM(C35:C41)</f>
        <v>0</v>
      </c>
      <c r="D42" s="130">
        <f t="shared" si="112"/>
        <v>0</v>
      </c>
      <c r="E42" s="130">
        <f t="shared" si="112"/>
        <v>0</v>
      </c>
      <c r="F42" s="130">
        <f t="shared" si="112"/>
        <v>0</v>
      </c>
      <c r="G42" s="130">
        <f t="shared" si="112"/>
        <v>0</v>
      </c>
      <c r="H42" s="130">
        <f t="shared" si="112"/>
        <v>0</v>
      </c>
      <c r="I42" s="130">
        <f t="shared" si="112"/>
        <v>0</v>
      </c>
      <c r="J42" s="149">
        <f t="shared" si="112"/>
        <v>0</v>
      </c>
      <c r="K42" s="130">
        <f t="shared" si="112"/>
        <v>0</v>
      </c>
      <c r="L42" s="130">
        <f t="shared" si="112"/>
        <v>0</v>
      </c>
      <c r="M42" s="130">
        <f t="shared" si="112"/>
        <v>0</v>
      </c>
      <c r="N42" s="130">
        <f t="shared" si="112"/>
        <v>0</v>
      </c>
      <c r="O42" s="143">
        <f t="shared" ref="O42" si="113">SUM(C42:N42)</f>
        <v>0</v>
      </c>
      <c r="P42" s="150">
        <f t="shared" si="86"/>
        <v>0</v>
      </c>
    </row>
    <row r="43" spans="2:16" ht="16.5" customHeight="1" x14ac:dyDescent="0.2">
      <c r="B43" s="151" t="s">
        <v>39</v>
      </c>
      <c r="C43" s="152">
        <f t="shared" ref="C43:O43" si="114">C33+C42</f>
        <v>0</v>
      </c>
      <c r="D43" s="152">
        <f t="shared" si="114"/>
        <v>0</v>
      </c>
      <c r="E43" s="152">
        <f t="shared" si="114"/>
        <v>0</v>
      </c>
      <c r="F43" s="152">
        <f t="shared" si="114"/>
        <v>0</v>
      </c>
      <c r="G43" s="152">
        <f t="shared" si="114"/>
        <v>0</v>
      </c>
      <c r="H43" s="152">
        <f t="shared" si="114"/>
        <v>0</v>
      </c>
      <c r="I43" s="152">
        <f t="shared" si="114"/>
        <v>0</v>
      </c>
      <c r="J43" s="152">
        <f t="shared" si="114"/>
        <v>0</v>
      </c>
      <c r="K43" s="152">
        <f t="shared" si="114"/>
        <v>0</v>
      </c>
      <c r="L43" s="152">
        <f t="shared" si="114"/>
        <v>0</v>
      </c>
      <c r="M43" s="152">
        <f t="shared" si="114"/>
        <v>0</v>
      </c>
      <c r="N43" s="152">
        <f t="shared" si="114"/>
        <v>0</v>
      </c>
      <c r="O43" s="153">
        <f t="shared" si="114"/>
        <v>0</v>
      </c>
      <c r="P43" s="154">
        <f t="shared" si="86"/>
        <v>0</v>
      </c>
    </row>
    <row r="44" spans="2:16" ht="16.5" customHeight="1" x14ac:dyDescent="0.2">
      <c r="B44" s="155" t="s">
        <v>40</v>
      </c>
      <c r="C44" s="156">
        <f t="shared" ref="C44:O44" si="115">C7-C14-C43</f>
        <v>0</v>
      </c>
      <c r="D44" s="156">
        <f t="shared" si="115"/>
        <v>0</v>
      </c>
      <c r="E44" s="156">
        <f t="shared" si="115"/>
        <v>0</v>
      </c>
      <c r="F44" s="156">
        <f t="shared" si="115"/>
        <v>0</v>
      </c>
      <c r="G44" s="156">
        <f t="shared" si="115"/>
        <v>0</v>
      </c>
      <c r="H44" s="156">
        <f t="shared" si="115"/>
        <v>0</v>
      </c>
      <c r="I44" s="156">
        <f t="shared" si="115"/>
        <v>0</v>
      </c>
      <c r="J44" s="157">
        <f t="shared" si="115"/>
        <v>0</v>
      </c>
      <c r="K44" s="156">
        <f t="shared" si="115"/>
        <v>0</v>
      </c>
      <c r="L44" s="156">
        <f t="shared" si="115"/>
        <v>0</v>
      </c>
      <c r="M44" s="156">
        <f t="shared" si="115"/>
        <v>0</v>
      </c>
      <c r="N44" s="156">
        <f t="shared" si="115"/>
        <v>0</v>
      </c>
      <c r="O44" s="158">
        <f t="shared" si="115"/>
        <v>0</v>
      </c>
      <c r="P44" s="159">
        <f>IFERROR(O44/$O$7,0)</f>
        <v>0</v>
      </c>
    </row>
    <row r="45" spans="2:16" x14ac:dyDescent="0.2">
      <c r="B45" s="50" t="s">
        <v>134</v>
      </c>
    </row>
    <row r="46" spans="2:16" x14ac:dyDescent="0.2">
      <c r="J46" s="51" t="s">
        <v>21</v>
      </c>
    </row>
    <row r="47" spans="2:16" x14ac:dyDescent="0.2">
      <c r="B47" s="54"/>
    </row>
  </sheetData>
  <sheetProtection selectLockedCells="1" selectUnlockedCells="1"/>
  <mergeCells count="1">
    <mergeCell ref="A1:A2"/>
  </mergeCells>
  <phoneticPr fontId="6" type="noConversion"/>
  <conditionalFormatting sqref="C44:O44">
    <cfRule type="cellIs" dxfId="2" priority="5" operator="lessThan">
      <formula>0</formula>
    </cfRule>
    <cfRule type="cellIs" dxfId="1" priority="6" operator="greaterThan">
      <formula>0</formula>
    </cfRule>
  </conditionalFormatting>
  <pageMargins left="0.5" right="0.25" top="0.5" bottom="0.50486111111111098" header="0.51180555555555596" footer="0"/>
  <pageSetup paperSize="9" scale="71" firstPageNumber="0" orientation="landscape" horizontalDpi="300" verticalDpi="300" r:id="rId1"/>
  <headerFooter alignWithMargins="0">
    <oddFooter>&amp;LCredit : สมทรัพย์ รัตนมนตรีชัย (ป้อ) Financial Advisor&amp;CTel : 089 - 220 -7517 &amp;Rหน้าที่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D93F-ADDA-4C59-B123-E874BB0644C4}">
  <sheetPr>
    <tabColor theme="9" tint="-0.249977111117893"/>
  </sheetPr>
  <dimension ref="B2:G6"/>
  <sheetViews>
    <sheetView zoomScale="126" zoomScaleNormal="150" workbookViewId="0">
      <selection activeCell="G33" sqref="G33"/>
    </sheetView>
  </sheetViews>
  <sheetFormatPr defaultRowHeight="30" customHeight="1" x14ac:dyDescent="0.2"/>
  <cols>
    <col min="2" max="2" width="38.140625" bestFit="1" customWidth="1"/>
    <col min="3" max="3" width="27.28515625" customWidth="1"/>
    <col min="4" max="4" width="46.7109375" customWidth="1"/>
    <col min="5" max="5" width="15.42578125" customWidth="1"/>
    <col min="6" max="6" width="39.5703125" customWidth="1"/>
    <col min="7" max="7" width="22.85546875" customWidth="1"/>
  </cols>
  <sheetData>
    <row r="2" spans="2:7" ht="30" customHeight="1" x14ac:dyDescent="0.2">
      <c r="B2" s="167" t="s">
        <v>113</v>
      </c>
      <c r="C2" s="167" t="s">
        <v>60</v>
      </c>
      <c r="D2" s="167" t="s">
        <v>112</v>
      </c>
      <c r="E2" s="167" t="s">
        <v>61</v>
      </c>
      <c r="F2" s="167" t="s">
        <v>133</v>
      </c>
      <c r="G2" s="167" t="s">
        <v>144</v>
      </c>
    </row>
    <row r="3" spans="2:7" ht="30" customHeight="1" x14ac:dyDescent="0.2">
      <c r="B3" s="163" t="s">
        <v>115</v>
      </c>
      <c r="C3" s="163" t="s">
        <v>63</v>
      </c>
      <c r="D3" s="164" t="s">
        <v>120</v>
      </c>
      <c r="E3" s="185">
        <f>IFERROR('Unit 2 - งบรายรับรายจ่าย'!O14/'Unit 2 - งบรายรับรายจ่าย'!O7,)</f>
        <v>0</v>
      </c>
      <c r="F3" s="164" t="s">
        <v>123</v>
      </c>
      <c r="G3" s="164"/>
    </row>
    <row r="4" spans="2:7" ht="30" customHeight="1" x14ac:dyDescent="0.2">
      <c r="B4" s="163" t="s">
        <v>114</v>
      </c>
      <c r="C4" s="163" t="s">
        <v>64</v>
      </c>
      <c r="D4" s="163" t="s">
        <v>119</v>
      </c>
      <c r="E4" s="185">
        <f>IFERROR(SUM('Unit 2 - งบรายรับรายจ่าย'!O18:O24)/'Unit 2 - งบรายรับรายจ่าย'!O7,)</f>
        <v>0</v>
      </c>
      <c r="F4" s="163" t="s">
        <v>124</v>
      </c>
      <c r="G4" s="163"/>
    </row>
    <row r="5" spans="2:7" ht="30" customHeight="1" x14ac:dyDescent="0.2">
      <c r="B5" s="163" t="s">
        <v>116</v>
      </c>
      <c r="C5" s="163" t="s">
        <v>66</v>
      </c>
      <c r="D5" s="163" t="s">
        <v>121</v>
      </c>
      <c r="E5" s="168">
        <f>IFERROR('Unit 1 - งบแสดงฐานะการเงิน'!C13/('Unit 2 - งบรายรับรายจ่าย'!O43/12),)</f>
        <v>0</v>
      </c>
      <c r="F5" s="163" t="s">
        <v>125</v>
      </c>
      <c r="G5" s="163"/>
    </row>
    <row r="6" spans="2:7" ht="30" customHeight="1" x14ac:dyDescent="0.2">
      <c r="B6" s="183" t="s">
        <v>117</v>
      </c>
      <c r="C6" s="183" t="s">
        <v>68</v>
      </c>
      <c r="D6" s="183" t="s">
        <v>122</v>
      </c>
      <c r="E6" s="187">
        <f>'Unit 1 - งบแสดงฐานะการเงิน'!C33-'Unit 1 - งบแสดงฐานะการเงิน'!G30</f>
        <v>5000</v>
      </c>
      <c r="F6" s="183" t="s">
        <v>126</v>
      </c>
      <c r="G6" s="183"/>
    </row>
  </sheetData>
  <conditionalFormatting sqref="E3">
    <cfRule type="colorScale" priority="2">
      <colorScale>
        <cfvo type="num" val="0"/>
        <cfvo type="percentile" val="50"/>
        <cfvo type="num" val="0.25"/>
        <color rgb="FFFF9999"/>
        <color theme="9" tint="0.39997558519241921"/>
        <color rgb="FF00B050"/>
      </colorScale>
    </cfRule>
  </conditionalFormatting>
  <conditionalFormatting sqref="E4">
    <cfRule type="colorScale" priority="3">
      <colorScale>
        <cfvo type="num" val="0"/>
        <cfvo type="num" val="0.2"/>
        <cfvo type="num" val="0.6"/>
        <color theme="9" tint="0.59999389629810485"/>
        <color rgb="FFFFEB84"/>
        <color rgb="FFFF0000"/>
      </colorScale>
    </cfRule>
  </conditionalFormatting>
  <conditionalFormatting sqref="E5">
    <cfRule type="colorScale" priority="4">
      <colorScale>
        <cfvo type="num" val="0"/>
        <cfvo type="num" val="3"/>
        <cfvo type="num" val="12"/>
        <color rgb="FFFF9999"/>
        <color theme="9" tint="0.79998168889431442"/>
        <color rgb="FF00B050"/>
      </colorScale>
    </cfRule>
  </conditionalFormatting>
  <conditionalFormatting sqref="E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D14E-E590-41E9-88A1-B90C20B063D6}">
  <sheetPr>
    <tabColor rgb="FFFF9696"/>
  </sheetPr>
  <dimension ref="A1:I484"/>
  <sheetViews>
    <sheetView zoomScaleNormal="100" workbookViewId="0">
      <selection activeCell="G33" sqref="G33"/>
    </sheetView>
  </sheetViews>
  <sheetFormatPr defaultRowHeight="20.25" customHeight="1" x14ac:dyDescent="0.2"/>
  <cols>
    <col min="1" max="1" width="10.28515625" customWidth="1"/>
    <col min="2" max="2" width="26.7109375" customWidth="1"/>
    <col min="3" max="3" width="22.5703125" customWidth="1"/>
    <col min="4" max="4" width="12.28515625" customWidth="1"/>
    <col min="5" max="5" width="9.140625" customWidth="1"/>
    <col min="6" max="9" width="16.42578125" customWidth="1"/>
  </cols>
  <sheetData>
    <row r="1" spans="1:9" ht="20.25" customHeight="1" x14ac:dyDescent="0.2">
      <c r="F1" s="81" t="s">
        <v>108</v>
      </c>
      <c r="G1" s="81" t="s">
        <v>109</v>
      </c>
      <c r="H1" s="81" t="s">
        <v>110</v>
      </c>
      <c r="I1" s="81"/>
    </row>
    <row r="2" spans="1:9" ht="25.5" customHeight="1" thickBot="1" x14ac:dyDescent="0.6">
      <c r="B2" s="197" t="s">
        <v>159</v>
      </c>
      <c r="C2" s="197"/>
      <c r="F2" s="67">
        <f>SUM(F5:F484)</f>
        <v>6475145.6716496767</v>
      </c>
      <c r="G2" s="67">
        <f t="shared" ref="G2:H2" si="0">SUM(G5:G484)</f>
        <v>3475145.6716497233</v>
      </c>
      <c r="H2" s="67">
        <f t="shared" si="0"/>
        <v>2999999.9999999995</v>
      </c>
    </row>
    <row r="3" spans="1:9" ht="20.25" customHeight="1" thickBot="1" x14ac:dyDescent="0.55000000000000004">
      <c r="B3" s="62" t="s">
        <v>96</v>
      </c>
      <c r="C3" s="74">
        <v>3000000</v>
      </c>
      <c r="E3" s="92" t="s">
        <v>103</v>
      </c>
      <c r="F3" s="93" t="s">
        <v>104</v>
      </c>
      <c r="G3" s="94" t="s">
        <v>105</v>
      </c>
      <c r="H3" s="95" t="s">
        <v>106</v>
      </c>
      <c r="I3" s="96" t="s">
        <v>107</v>
      </c>
    </row>
    <row r="4" spans="1:9" ht="20.25" customHeight="1" x14ac:dyDescent="0.5">
      <c r="B4" s="62" t="s">
        <v>98</v>
      </c>
      <c r="C4" s="76">
        <v>0.06</v>
      </c>
      <c r="E4" s="83">
        <v>0</v>
      </c>
      <c r="F4" s="84"/>
      <c r="G4" s="84"/>
      <c r="H4" s="84"/>
      <c r="I4" s="86">
        <f>C3</f>
        <v>3000000</v>
      </c>
    </row>
    <row r="5" spans="1:9" ht="20.25" customHeight="1" x14ac:dyDescent="0.5">
      <c r="B5" s="62" t="s">
        <v>97</v>
      </c>
      <c r="C5" s="75">
        <v>30</v>
      </c>
      <c r="E5" s="85">
        <v>1</v>
      </c>
      <c r="F5" s="82">
        <f t="shared" ref="F5:F68" si="1">IF($C$7+$C$11&gt;I4,I4*(1+$C$4/12),$C$7+$C$11)</f>
        <v>17986.515754582571</v>
      </c>
      <c r="G5" s="82">
        <f>I4*$C$4/12</f>
        <v>15000</v>
      </c>
      <c r="H5" s="82">
        <f>F5-G5</f>
        <v>2986.5157545825714</v>
      </c>
      <c r="I5" s="87">
        <f>IF(I4-$H5&lt;0,0,I4-$H5)</f>
        <v>2997013.4842454176</v>
      </c>
    </row>
    <row r="6" spans="1:9" ht="20.25" customHeight="1" thickBot="1" x14ac:dyDescent="0.55000000000000004">
      <c r="B6" s="62"/>
      <c r="C6" s="80"/>
      <c r="E6" s="85">
        <v>2</v>
      </c>
      <c r="F6" s="82">
        <f t="shared" si="1"/>
        <v>17986.515754582571</v>
      </c>
      <c r="G6" s="82">
        <f t="shared" ref="G6:G69" si="2">I5*$C$4/12</f>
        <v>14985.067421227088</v>
      </c>
      <c r="H6" s="82">
        <f t="shared" ref="H6:H69" si="3">F6-G6</f>
        <v>3001.4483333554836</v>
      </c>
      <c r="I6" s="87">
        <f t="shared" ref="I6:I69" si="4">IF(I5-$H6&lt;0,0,I5-$H6)</f>
        <v>2994012.035912062</v>
      </c>
    </row>
    <row r="7" spans="1:9" ht="20.25" customHeight="1" x14ac:dyDescent="0.5">
      <c r="A7" s="88" t="str">
        <f>IF(ISNUMBER(C11), "ก่อนโปะ", " ")</f>
        <v xml:space="preserve"> </v>
      </c>
      <c r="B7" s="65" t="s">
        <v>100</v>
      </c>
      <c r="C7" s="78">
        <f>PMT(C4/12,C5*12,-C3,0)</f>
        <v>17986.515754582571</v>
      </c>
      <c r="E7" s="85">
        <v>3</v>
      </c>
      <c r="F7" s="82">
        <f t="shared" si="1"/>
        <v>17986.515754582571</v>
      </c>
      <c r="G7" s="82">
        <f t="shared" si="2"/>
        <v>14970.060179560309</v>
      </c>
      <c r="H7" s="82">
        <f t="shared" si="3"/>
        <v>3016.4555750222626</v>
      </c>
      <c r="I7" s="87">
        <f t="shared" si="4"/>
        <v>2990995.5803370397</v>
      </c>
    </row>
    <row r="8" spans="1:9" ht="20.25" customHeight="1" x14ac:dyDescent="0.5">
      <c r="B8" s="165" t="s">
        <v>99</v>
      </c>
      <c r="C8" s="166">
        <f>C7*C5*12</f>
        <v>6475145.6716497252</v>
      </c>
      <c r="E8" s="85">
        <v>4</v>
      </c>
      <c r="F8" s="82">
        <f t="shared" si="1"/>
        <v>17986.515754582571</v>
      </c>
      <c r="G8" s="82">
        <f t="shared" si="2"/>
        <v>14954.977901685197</v>
      </c>
      <c r="H8" s="82">
        <f t="shared" si="3"/>
        <v>3031.5378528973743</v>
      </c>
      <c r="I8" s="87">
        <f t="shared" si="4"/>
        <v>2987964.0424841424</v>
      </c>
    </row>
    <row r="9" spans="1:9" ht="20.25" customHeight="1" thickBot="1" x14ac:dyDescent="0.55000000000000004">
      <c r="B9" s="68" t="s">
        <v>101</v>
      </c>
      <c r="C9" s="79">
        <f>C8-C3</f>
        <v>3475145.6716497252</v>
      </c>
      <c r="E9" s="85">
        <v>5</v>
      </c>
      <c r="F9" s="82">
        <f t="shared" si="1"/>
        <v>17986.515754582571</v>
      </c>
      <c r="G9" s="82">
        <f t="shared" si="2"/>
        <v>14939.820212420711</v>
      </c>
      <c r="H9" s="82">
        <f t="shared" si="3"/>
        <v>3046.6955421618604</v>
      </c>
      <c r="I9" s="87">
        <f t="shared" si="4"/>
        <v>2984917.3469419805</v>
      </c>
    </row>
    <row r="10" spans="1:9" ht="20.25" customHeight="1" x14ac:dyDescent="0.2">
      <c r="E10" s="85">
        <v>6</v>
      </c>
      <c r="F10" s="82">
        <f t="shared" si="1"/>
        <v>17986.515754582571</v>
      </c>
      <c r="G10" s="82">
        <f t="shared" si="2"/>
        <v>14924.586734709903</v>
      </c>
      <c r="H10" s="82">
        <f t="shared" si="3"/>
        <v>3061.9290198726685</v>
      </c>
      <c r="I10" s="87">
        <f t="shared" si="4"/>
        <v>2981855.417922108</v>
      </c>
    </row>
    <row r="11" spans="1:9" ht="20.25" customHeight="1" x14ac:dyDescent="0.5">
      <c r="B11" s="62" t="s">
        <v>102</v>
      </c>
      <c r="C11" s="75"/>
      <c r="E11" s="85">
        <v>7</v>
      </c>
      <c r="F11" s="82">
        <f t="shared" si="1"/>
        <v>17986.515754582571</v>
      </c>
      <c r="G11" s="82">
        <f t="shared" si="2"/>
        <v>14909.277089610538</v>
      </c>
      <c r="H11" s="82">
        <f t="shared" si="3"/>
        <v>3077.2386649720338</v>
      </c>
      <c r="I11" s="87">
        <f t="shared" si="4"/>
        <v>2978778.1792571358</v>
      </c>
    </row>
    <row r="12" spans="1:9" ht="20.25" customHeight="1" x14ac:dyDescent="0.5">
      <c r="B12" s="62"/>
      <c r="C12" s="77"/>
      <c r="E12" s="85">
        <v>8</v>
      </c>
      <c r="F12" s="82">
        <f t="shared" si="1"/>
        <v>17986.515754582571</v>
      </c>
      <c r="G12" s="82">
        <f t="shared" si="2"/>
        <v>14893.890896285679</v>
      </c>
      <c r="H12" s="82">
        <f t="shared" si="3"/>
        <v>3092.6248582968929</v>
      </c>
      <c r="I12" s="87">
        <f t="shared" si="4"/>
        <v>2975685.5543988389</v>
      </c>
    </row>
    <row r="13" spans="1:9" ht="20.25" customHeight="1" x14ac:dyDescent="0.5">
      <c r="A13" s="88" t="str">
        <f>IF(ISNUMBER(C11), "หลังโปะ", "" )</f>
        <v/>
      </c>
      <c r="B13" s="62" t="str">
        <f>IF(ISNUMBER(C11), "ยอดผ่อนต่อเดือน", "" )</f>
        <v/>
      </c>
      <c r="C13" s="89" t="str">
        <f>IF(ISNUMBER(C11), PMT(C4/12,C5*12,-C3,0)+C11, "")</f>
        <v/>
      </c>
      <c r="E13" s="85">
        <v>9</v>
      </c>
      <c r="F13" s="82">
        <f t="shared" si="1"/>
        <v>17986.515754582571</v>
      </c>
      <c r="G13" s="82">
        <f t="shared" si="2"/>
        <v>14878.427771994195</v>
      </c>
      <c r="H13" s="82">
        <f t="shared" si="3"/>
        <v>3108.0879825883767</v>
      </c>
      <c r="I13" s="87">
        <f t="shared" si="4"/>
        <v>2972577.4664162504</v>
      </c>
    </row>
    <row r="14" spans="1:9" ht="20.25" customHeight="1" x14ac:dyDescent="0.5">
      <c r="B14" s="62" t="str">
        <f>IF(ISNUMBER(C11), "จำนวนเงินผ่อนทั้งหมด", "")</f>
        <v/>
      </c>
      <c r="C14" s="77" t="str">
        <f>IF(ISNUMBER(C11),F2,"")</f>
        <v/>
      </c>
      <c r="E14" s="85">
        <v>10</v>
      </c>
      <c r="F14" s="82">
        <f t="shared" si="1"/>
        <v>17986.515754582571</v>
      </c>
      <c r="G14" s="82">
        <f t="shared" si="2"/>
        <v>14862.887332081251</v>
      </c>
      <c r="H14" s="82">
        <f t="shared" si="3"/>
        <v>3123.6284225013205</v>
      </c>
      <c r="I14" s="87">
        <f t="shared" si="4"/>
        <v>2969453.837993749</v>
      </c>
    </row>
    <row r="15" spans="1:9" ht="20.25" customHeight="1" x14ac:dyDescent="0.5">
      <c r="B15" s="62" t="str">
        <f>IF(ISNUMBER(C11), "จำนวนดอกเบี้ยทั้งหมด","")</f>
        <v/>
      </c>
      <c r="C15" s="77" t="str">
        <f>IF(ISNUMBER(C11),G2,"")</f>
        <v/>
      </c>
      <c r="E15" s="85">
        <v>11</v>
      </c>
      <c r="F15" s="82">
        <f t="shared" si="1"/>
        <v>17986.515754582571</v>
      </c>
      <c r="G15" s="82">
        <f t="shared" si="2"/>
        <v>14847.269189968743</v>
      </c>
      <c r="H15" s="82">
        <f t="shared" si="3"/>
        <v>3139.246564613828</v>
      </c>
      <c r="I15" s="87">
        <f t="shared" si="4"/>
        <v>2966314.5914291353</v>
      </c>
    </row>
    <row r="16" spans="1:9" ht="20.25" customHeight="1" x14ac:dyDescent="0.2">
      <c r="E16" s="160">
        <v>12</v>
      </c>
      <c r="F16" s="161">
        <f t="shared" si="1"/>
        <v>17986.515754582571</v>
      </c>
      <c r="G16" s="161">
        <f t="shared" si="2"/>
        <v>14831.572957145676</v>
      </c>
      <c r="H16" s="161">
        <f t="shared" si="3"/>
        <v>3154.9427974368955</v>
      </c>
      <c r="I16" s="162">
        <f t="shared" si="4"/>
        <v>2963159.6486316985</v>
      </c>
    </row>
    <row r="17" spans="2:9" ht="20.25" customHeight="1" x14ac:dyDescent="0.5">
      <c r="B17" s="91" t="str">
        <f>IF(ISNUMBER(C11), "ดอกเบี้ยลดลง","")</f>
        <v/>
      </c>
      <c r="C17" s="90" t="str">
        <f>IF(ISNUMBER(C11), C9-C15,"")</f>
        <v/>
      </c>
      <c r="E17" s="85">
        <v>13</v>
      </c>
      <c r="F17" s="82">
        <f t="shared" si="1"/>
        <v>17986.515754582571</v>
      </c>
      <c r="G17" s="82">
        <f t="shared" si="2"/>
        <v>14815.798243158491</v>
      </c>
      <c r="H17" s="82">
        <f t="shared" si="3"/>
        <v>3170.7175114240799</v>
      </c>
      <c r="I17" s="87">
        <f t="shared" si="4"/>
        <v>2959988.9311202746</v>
      </c>
    </row>
    <row r="18" spans="2:9" ht="20.25" customHeight="1" x14ac:dyDescent="0.5">
      <c r="B18" s="91" t="str">
        <f>IF(ISNUMBER(C11), "ระยะเวลาลดลง","")</f>
        <v/>
      </c>
      <c r="C18" s="90" t="str">
        <f>IF(ISNUMBER(C11), (C5*12)-ROUND(NPER(C4/12,C13,-C3,0),0),"")</f>
        <v/>
      </c>
      <c r="E18" s="85">
        <v>14</v>
      </c>
      <c r="F18" s="82">
        <f t="shared" si="1"/>
        <v>17986.515754582571</v>
      </c>
      <c r="G18" s="82">
        <f t="shared" si="2"/>
        <v>14799.944655601372</v>
      </c>
      <c r="H18" s="82">
        <f t="shared" si="3"/>
        <v>3186.5710989811996</v>
      </c>
      <c r="I18" s="87">
        <f t="shared" si="4"/>
        <v>2956802.3600212932</v>
      </c>
    </row>
    <row r="19" spans="2:9" ht="20.25" customHeight="1" x14ac:dyDescent="0.2">
      <c r="E19" s="85">
        <v>15</v>
      </c>
      <c r="F19" s="82">
        <f t="shared" si="1"/>
        <v>17986.515754582571</v>
      </c>
      <c r="G19" s="82">
        <f t="shared" si="2"/>
        <v>14784.011800106464</v>
      </c>
      <c r="H19" s="82">
        <f t="shared" si="3"/>
        <v>3202.5039544761075</v>
      </c>
      <c r="I19" s="87">
        <f t="shared" si="4"/>
        <v>2953599.856066817</v>
      </c>
    </row>
    <row r="20" spans="2:9" ht="20.25" customHeight="1" x14ac:dyDescent="0.2">
      <c r="E20" s="85">
        <v>16</v>
      </c>
      <c r="F20" s="82">
        <f t="shared" si="1"/>
        <v>17986.515754582571</v>
      </c>
      <c r="G20" s="82">
        <f t="shared" si="2"/>
        <v>14767.999280334085</v>
      </c>
      <c r="H20" s="82">
        <f t="shared" si="3"/>
        <v>3218.5164742484867</v>
      </c>
      <c r="I20" s="87">
        <f t="shared" si="4"/>
        <v>2950381.3395925686</v>
      </c>
    </row>
    <row r="21" spans="2:9" ht="20.25" customHeight="1" x14ac:dyDescent="0.2">
      <c r="E21" s="85">
        <v>17</v>
      </c>
      <c r="F21" s="82">
        <f t="shared" si="1"/>
        <v>17986.515754582571</v>
      </c>
      <c r="G21" s="82">
        <f t="shared" si="2"/>
        <v>14751.906697962842</v>
      </c>
      <c r="H21" s="82">
        <f t="shared" si="3"/>
        <v>3234.609056619729</v>
      </c>
      <c r="I21" s="87">
        <f t="shared" si="4"/>
        <v>2947146.7305359486</v>
      </c>
    </row>
    <row r="22" spans="2:9" ht="20.25" customHeight="1" x14ac:dyDescent="0.2">
      <c r="E22" s="85">
        <v>18</v>
      </c>
      <c r="F22" s="82">
        <f t="shared" si="1"/>
        <v>17986.515754582571</v>
      </c>
      <c r="G22" s="82">
        <f t="shared" si="2"/>
        <v>14735.733652679743</v>
      </c>
      <c r="H22" s="82">
        <f t="shared" si="3"/>
        <v>3250.7821019028288</v>
      </c>
      <c r="I22" s="87">
        <f t="shared" si="4"/>
        <v>2943895.948434046</v>
      </c>
    </row>
    <row r="23" spans="2:9" ht="20.25" customHeight="1" x14ac:dyDescent="0.2">
      <c r="E23" s="85">
        <v>19</v>
      </c>
      <c r="F23" s="82">
        <f t="shared" si="1"/>
        <v>17986.515754582571</v>
      </c>
      <c r="G23" s="82">
        <f t="shared" si="2"/>
        <v>14719.47974217023</v>
      </c>
      <c r="H23" s="82">
        <f t="shared" si="3"/>
        <v>3267.0360124123417</v>
      </c>
      <c r="I23" s="87">
        <f t="shared" si="4"/>
        <v>2940628.9124216335</v>
      </c>
    </row>
    <row r="24" spans="2:9" ht="20.25" customHeight="1" x14ac:dyDescent="0.2">
      <c r="E24" s="85">
        <v>20</v>
      </c>
      <c r="F24" s="82">
        <f t="shared" si="1"/>
        <v>17986.515754582571</v>
      </c>
      <c r="G24" s="82">
        <f t="shared" si="2"/>
        <v>14703.144562108166</v>
      </c>
      <c r="H24" s="82">
        <f t="shared" si="3"/>
        <v>3283.3711924744057</v>
      </c>
      <c r="I24" s="87">
        <f t="shared" si="4"/>
        <v>2937345.5412291591</v>
      </c>
    </row>
    <row r="25" spans="2:9" ht="20.25" customHeight="1" x14ac:dyDescent="0.2">
      <c r="E25" s="85">
        <v>21</v>
      </c>
      <c r="F25" s="82">
        <f t="shared" si="1"/>
        <v>17986.515754582571</v>
      </c>
      <c r="G25" s="82">
        <f t="shared" si="2"/>
        <v>14686.727706145795</v>
      </c>
      <c r="H25" s="82">
        <f t="shared" si="3"/>
        <v>3299.7880484367761</v>
      </c>
      <c r="I25" s="87">
        <f t="shared" si="4"/>
        <v>2934045.7531807222</v>
      </c>
    </row>
    <row r="26" spans="2:9" ht="20.25" customHeight="1" x14ac:dyDescent="0.2">
      <c r="E26" s="85">
        <v>22</v>
      </c>
      <c r="F26" s="82">
        <f t="shared" si="1"/>
        <v>17986.515754582571</v>
      </c>
      <c r="G26" s="82">
        <f t="shared" si="2"/>
        <v>14670.22876590361</v>
      </c>
      <c r="H26" s="82">
        <f t="shared" si="3"/>
        <v>3316.2869886789613</v>
      </c>
      <c r="I26" s="87">
        <f t="shared" si="4"/>
        <v>2930729.4661920434</v>
      </c>
    </row>
    <row r="27" spans="2:9" ht="20.25" customHeight="1" x14ac:dyDescent="0.2">
      <c r="E27" s="85">
        <v>23</v>
      </c>
      <c r="F27" s="82">
        <f t="shared" si="1"/>
        <v>17986.515754582571</v>
      </c>
      <c r="G27" s="82">
        <f t="shared" si="2"/>
        <v>14653.647330960215</v>
      </c>
      <c r="H27" s="82">
        <f t="shared" si="3"/>
        <v>3332.8684236223562</v>
      </c>
      <c r="I27" s="87">
        <f t="shared" si="4"/>
        <v>2927396.5977684208</v>
      </c>
    </row>
    <row r="28" spans="2:9" ht="20.25" customHeight="1" x14ac:dyDescent="0.2">
      <c r="E28" s="160">
        <v>24</v>
      </c>
      <c r="F28" s="161">
        <f t="shared" si="1"/>
        <v>17986.515754582571</v>
      </c>
      <c r="G28" s="161">
        <f t="shared" si="2"/>
        <v>14636.982988842103</v>
      </c>
      <c r="H28" s="161">
        <f t="shared" si="3"/>
        <v>3349.5327657404687</v>
      </c>
      <c r="I28" s="162">
        <f t="shared" si="4"/>
        <v>2924047.0650026803</v>
      </c>
    </row>
    <row r="29" spans="2:9" ht="20.25" customHeight="1" x14ac:dyDescent="0.2">
      <c r="E29" s="85">
        <v>25</v>
      </c>
      <c r="F29" s="82">
        <f t="shared" si="1"/>
        <v>17986.515754582571</v>
      </c>
      <c r="G29" s="82">
        <f t="shared" si="2"/>
        <v>14620.235325013402</v>
      </c>
      <c r="H29" s="82">
        <f t="shared" si="3"/>
        <v>3366.2804295691694</v>
      </c>
      <c r="I29" s="87">
        <f t="shared" si="4"/>
        <v>2920680.7845731112</v>
      </c>
    </row>
    <row r="30" spans="2:9" ht="20.25" customHeight="1" x14ac:dyDescent="0.2">
      <c r="E30" s="85">
        <v>26</v>
      </c>
      <c r="F30" s="82">
        <f t="shared" si="1"/>
        <v>17986.515754582571</v>
      </c>
      <c r="G30" s="82">
        <f t="shared" si="2"/>
        <v>14603.403922865555</v>
      </c>
      <c r="H30" s="82">
        <f t="shared" si="3"/>
        <v>3383.1118317170167</v>
      </c>
      <c r="I30" s="87">
        <f t="shared" si="4"/>
        <v>2917297.672741394</v>
      </c>
    </row>
    <row r="31" spans="2:9" ht="20.25" customHeight="1" x14ac:dyDescent="0.2">
      <c r="E31" s="85">
        <v>27</v>
      </c>
      <c r="F31" s="82">
        <f t="shared" si="1"/>
        <v>17986.515754582571</v>
      </c>
      <c r="G31" s="82">
        <f t="shared" si="2"/>
        <v>14586.488363706971</v>
      </c>
      <c r="H31" s="82">
        <f t="shared" si="3"/>
        <v>3400.0273908756008</v>
      </c>
      <c r="I31" s="87">
        <f t="shared" si="4"/>
        <v>2913897.6453505186</v>
      </c>
    </row>
    <row r="32" spans="2:9" ht="20.25" customHeight="1" x14ac:dyDescent="0.2">
      <c r="E32" s="85">
        <v>28</v>
      </c>
      <c r="F32" s="82">
        <f t="shared" si="1"/>
        <v>17986.515754582571</v>
      </c>
      <c r="G32" s="82">
        <f t="shared" si="2"/>
        <v>14569.488226752592</v>
      </c>
      <c r="H32" s="82">
        <f t="shared" si="3"/>
        <v>3417.0275278299796</v>
      </c>
      <c r="I32" s="87">
        <f t="shared" si="4"/>
        <v>2910480.6178226885</v>
      </c>
    </row>
    <row r="33" spans="5:9" ht="20.25" customHeight="1" x14ac:dyDescent="0.2">
      <c r="E33" s="85">
        <v>29</v>
      </c>
      <c r="F33" s="82">
        <f t="shared" si="1"/>
        <v>17986.515754582571</v>
      </c>
      <c r="G33" s="82">
        <f t="shared" si="2"/>
        <v>14552.403089113441</v>
      </c>
      <c r="H33" s="82">
        <f t="shared" si="3"/>
        <v>3434.1126654691307</v>
      </c>
      <c r="I33" s="87">
        <f t="shared" si="4"/>
        <v>2907046.5051572192</v>
      </c>
    </row>
    <row r="34" spans="5:9" ht="20.25" customHeight="1" x14ac:dyDescent="0.2">
      <c r="E34" s="85">
        <v>30</v>
      </c>
      <c r="F34" s="82">
        <f t="shared" si="1"/>
        <v>17986.515754582571</v>
      </c>
      <c r="G34" s="82">
        <f t="shared" si="2"/>
        <v>14535.232525786096</v>
      </c>
      <c r="H34" s="82">
        <f t="shared" si="3"/>
        <v>3451.2832287964757</v>
      </c>
      <c r="I34" s="87">
        <f t="shared" si="4"/>
        <v>2903595.2219284228</v>
      </c>
    </row>
    <row r="35" spans="5:9" ht="20.25" customHeight="1" x14ac:dyDescent="0.2">
      <c r="E35" s="85">
        <v>31</v>
      </c>
      <c r="F35" s="82">
        <f t="shared" si="1"/>
        <v>17986.515754582571</v>
      </c>
      <c r="G35" s="82">
        <f t="shared" si="2"/>
        <v>14517.976109642113</v>
      </c>
      <c r="H35" s="82">
        <f t="shared" si="3"/>
        <v>3468.5396449404579</v>
      </c>
      <c r="I35" s="87">
        <f t="shared" si="4"/>
        <v>2900126.6822834825</v>
      </c>
    </row>
    <row r="36" spans="5:9" ht="20.25" customHeight="1" x14ac:dyDescent="0.2">
      <c r="E36" s="85">
        <v>32</v>
      </c>
      <c r="F36" s="82">
        <f t="shared" si="1"/>
        <v>17986.515754582571</v>
      </c>
      <c r="G36" s="82">
        <f t="shared" si="2"/>
        <v>14500.633411417411</v>
      </c>
      <c r="H36" s="82">
        <f t="shared" si="3"/>
        <v>3485.8823431651599</v>
      </c>
      <c r="I36" s="87">
        <f t="shared" si="4"/>
        <v>2896640.7999403174</v>
      </c>
    </row>
    <row r="37" spans="5:9" ht="20.25" customHeight="1" x14ac:dyDescent="0.2">
      <c r="E37" s="85">
        <v>33</v>
      </c>
      <c r="F37" s="82">
        <f t="shared" si="1"/>
        <v>17986.515754582571</v>
      </c>
      <c r="G37" s="82">
        <f t="shared" si="2"/>
        <v>14483.203999701587</v>
      </c>
      <c r="H37" s="82">
        <f t="shared" si="3"/>
        <v>3503.3117548809842</v>
      </c>
      <c r="I37" s="87">
        <f t="shared" si="4"/>
        <v>2893137.4881854365</v>
      </c>
    </row>
    <row r="38" spans="5:9" ht="20.25" customHeight="1" x14ac:dyDescent="0.2">
      <c r="E38" s="85">
        <v>34</v>
      </c>
      <c r="F38" s="82">
        <f t="shared" si="1"/>
        <v>17986.515754582571</v>
      </c>
      <c r="G38" s="82">
        <f t="shared" si="2"/>
        <v>14465.687440927182</v>
      </c>
      <c r="H38" s="82">
        <f t="shared" si="3"/>
        <v>3520.8283136553891</v>
      </c>
      <c r="I38" s="87">
        <f t="shared" si="4"/>
        <v>2889616.6598717812</v>
      </c>
    </row>
    <row r="39" spans="5:9" ht="20.25" customHeight="1" x14ac:dyDescent="0.2">
      <c r="E39" s="85">
        <v>35</v>
      </c>
      <c r="F39" s="82">
        <f t="shared" si="1"/>
        <v>17986.515754582571</v>
      </c>
      <c r="G39" s="82">
        <f t="shared" si="2"/>
        <v>14448.083299358907</v>
      </c>
      <c r="H39" s="82">
        <f t="shared" si="3"/>
        <v>3538.4324552236649</v>
      </c>
      <c r="I39" s="87">
        <f t="shared" si="4"/>
        <v>2886078.2274165577</v>
      </c>
    </row>
    <row r="40" spans="5:9" ht="20.25" customHeight="1" x14ac:dyDescent="0.2">
      <c r="E40" s="160">
        <v>36</v>
      </c>
      <c r="F40" s="161">
        <f t="shared" si="1"/>
        <v>17986.515754582571</v>
      </c>
      <c r="G40" s="161">
        <f t="shared" si="2"/>
        <v>14430.391137082786</v>
      </c>
      <c r="H40" s="161">
        <f t="shared" si="3"/>
        <v>3556.124617499785</v>
      </c>
      <c r="I40" s="162">
        <f t="shared" si="4"/>
        <v>2882522.102799058</v>
      </c>
    </row>
    <row r="41" spans="5:9" ht="20.25" customHeight="1" x14ac:dyDescent="0.2">
      <c r="E41" s="85">
        <v>37</v>
      </c>
      <c r="F41" s="82">
        <f t="shared" si="1"/>
        <v>17986.515754582571</v>
      </c>
      <c r="G41" s="82">
        <f t="shared" si="2"/>
        <v>14412.610513995291</v>
      </c>
      <c r="H41" s="82">
        <f t="shared" si="3"/>
        <v>3573.9052405872808</v>
      </c>
      <c r="I41" s="87">
        <f t="shared" si="4"/>
        <v>2878948.1975584705</v>
      </c>
    </row>
    <row r="42" spans="5:9" ht="20.25" customHeight="1" x14ac:dyDescent="0.2">
      <c r="E42" s="85">
        <v>38</v>
      </c>
      <c r="F42" s="82">
        <f t="shared" si="1"/>
        <v>17986.515754582571</v>
      </c>
      <c r="G42" s="82">
        <f t="shared" si="2"/>
        <v>14394.740987792351</v>
      </c>
      <c r="H42" s="82">
        <f t="shared" si="3"/>
        <v>3591.7747667902204</v>
      </c>
      <c r="I42" s="87">
        <f t="shared" si="4"/>
        <v>2875356.4227916803</v>
      </c>
    </row>
    <row r="43" spans="5:9" ht="20.25" customHeight="1" x14ac:dyDescent="0.2">
      <c r="E43" s="85">
        <v>39</v>
      </c>
      <c r="F43" s="82">
        <f t="shared" si="1"/>
        <v>17986.515754582571</v>
      </c>
      <c r="G43" s="82">
        <f t="shared" si="2"/>
        <v>14376.782113958399</v>
      </c>
      <c r="H43" s="82">
        <f t="shared" si="3"/>
        <v>3609.733640624172</v>
      </c>
      <c r="I43" s="87">
        <f t="shared" si="4"/>
        <v>2871746.6891510561</v>
      </c>
    </row>
    <row r="44" spans="5:9" ht="20.25" customHeight="1" x14ac:dyDescent="0.2">
      <c r="E44" s="85">
        <v>40</v>
      </c>
      <c r="F44" s="82">
        <f t="shared" si="1"/>
        <v>17986.515754582571</v>
      </c>
      <c r="G44" s="82">
        <f t="shared" si="2"/>
        <v>14358.733445755281</v>
      </c>
      <c r="H44" s="82">
        <f t="shared" si="3"/>
        <v>3627.7823088272908</v>
      </c>
      <c r="I44" s="87">
        <f t="shared" si="4"/>
        <v>2868118.906842229</v>
      </c>
    </row>
    <row r="45" spans="5:9" ht="20.25" customHeight="1" x14ac:dyDescent="0.2">
      <c r="E45" s="85">
        <v>41</v>
      </c>
      <c r="F45" s="82">
        <f t="shared" si="1"/>
        <v>17986.515754582571</v>
      </c>
      <c r="G45" s="82">
        <f t="shared" si="2"/>
        <v>14340.594534211144</v>
      </c>
      <c r="H45" s="82">
        <f t="shared" si="3"/>
        <v>3645.9212203714269</v>
      </c>
      <c r="I45" s="87">
        <f t="shared" si="4"/>
        <v>2864472.9856218575</v>
      </c>
    </row>
    <row r="46" spans="5:9" ht="20.25" customHeight="1" x14ac:dyDescent="0.2">
      <c r="E46" s="85">
        <v>42</v>
      </c>
      <c r="F46" s="82">
        <f t="shared" si="1"/>
        <v>17986.515754582571</v>
      </c>
      <c r="G46" s="82">
        <f t="shared" si="2"/>
        <v>14322.364928109288</v>
      </c>
      <c r="H46" s="82">
        <f t="shared" si="3"/>
        <v>3664.1508264732838</v>
      </c>
      <c r="I46" s="87">
        <f t="shared" si="4"/>
        <v>2860808.8347953842</v>
      </c>
    </row>
    <row r="47" spans="5:9" ht="20.25" customHeight="1" x14ac:dyDescent="0.2">
      <c r="E47" s="85">
        <v>43</v>
      </c>
      <c r="F47" s="82">
        <f t="shared" si="1"/>
        <v>17986.515754582571</v>
      </c>
      <c r="G47" s="82">
        <f t="shared" si="2"/>
        <v>14304.044173976921</v>
      </c>
      <c r="H47" s="82">
        <f t="shared" si="3"/>
        <v>3682.4715806056502</v>
      </c>
      <c r="I47" s="87">
        <f t="shared" si="4"/>
        <v>2857126.3632147787</v>
      </c>
    </row>
    <row r="48" spans="5:9" ht="20.25" customHeight="1" x14ac:dyDescent="0.2">
      <c r="E48" s="85">
        <v>44</v>
      </c>
      <c r="F48" s="82">
        <f t="shared" si="1"/>
        <v>17986.515754582571</v>
      </c>
      <c r="G48" s="82">
        <f t="shared" si="2"/>
        <v>14285.631816073894</v>
      </c>
      <c r="H48" s="82">
        <f t="shared" si="3"/>
        <v>3700.8839385086776</v>
      </c>
      <c r="I48" s="87">
        <f t="shared" si="4"/>
        <v>2853425.4792762701</v>
      </c>
    </row>
    <row r="49" spans="5:9" ht="20.25" customHeight="1" x14ac:dyDescent="0.2">
      <c r="E49" s="85">
        <v>45</v>
      </c>
      <c r="F49" s="82">
        <f t="shared" si="1"/>
        <v>17986.515754582571</v>
      </c>
      <c r="G49" s="82">
        <f t="shared" si="2"/>
        <v>14267.127396381351</v>
      </c>
      <c r="H49" s="82">
        <f t="shared" si="3"/>
        <v>3719.3883582012204</v>
      </c>
      <c r="I49" s="87">
        <f t="shared" si="4"/>
        <v>2849706.0909180688</v>
      </c>
    </row>
    <row r="50" spans="5:9" ht="20.25" customHeight="1" x14ac:dyDescent="0.2">
      <c r="E50" s="85">
        <v>46</v>
      </c>
      <c r="F50" s="82">
        <f t="shared" si="1"/>
        <v>17986.515754582571</v>
      </c>
      <c r="G50" s="82">
        <f t="shared" si="2"/>
        <v>14248.530454590344</v>
      </c>
      <c r="H50" s="82">
        <f t="shared" si="3"/>
        <v>3737.9852999922277</v>
      </c>
      <c r="I50" s="87">
        <f t="shared" si="4"/>
        <v>2845968.1056180764</v>
      </c>
    </row>
    <row r="51" spans="5:9" ht="20.25" customHeight="1" x14ac:dyDescent="0.2">
      <c r="E51" s="85">
        <v>47</v>
      </c>
      <c r="F51" s="82">
        <f t="shared" si="1"/>
        <v>17986.515754582571</v>
      </c>
      <c r="G51" s="82">
        <f t="shared" si="2"/>
        <v>14229.840528090383</v>
      </c>
      <c r="H51" s="82">
        <f t="shared" si="3"/>
        <v>3756.6752264921888</v>
      </c>
      <c r="I51" s="87">
        <f t="shared" si="4"/>
        <v>2842211.4303915841</v>
      </c>
    </row>
    <row r="52" spans="5:9" ht="20.25" customHeight="1" x14ac:dyDescent="0.2">
      <c r="E52" s="160">
        <v>48</v>
      </c>
      <c r="F52" s="161">
        <f t="shared" si="1"/>
        <v>17986.515754582571</v>
      </c>
      <c r="G52" s="161">
        <f t="shared" si="2"/>
        <v>14211.057151957919</v>
      </c>
      <c r="H52" s="161">
        <f t="shared" si="3"/>
        <v>3775.4586026246525</v>
      </c>
      <c r="I52" s="162">
        <f t="shared" si="4"/>
        <v>2838435.9717889596</v>
      </c>
    </row>
    <row r="53" spans="5:9" ht="20.25" customHeight="1" x14ac:dyDescent="0.2">
      <c r="E53" s="85">
        <v>49</v>
      </c>
      <c r="F53" s="82">
        <f t="shared" si="1"/>
        <v>17986.515754582571</v>
      </c>
      <c r="G53" s="82">
        <f t="shared" si="2"/>
        <v>14192.179858944799</v>
      </c>
      <c r="H53" s="82">
        <f t="shared" si="3"/>
        <v>3794.3358956377724</v>
      </c>
      <c r="I53" s="87">
        <f t="shared" si="4"/>
        <v>2834641.6358933216</v>
      </c>
    </row>
    <row r="54" spans="5:9" ht="20.25" customHeight="1" x14ac:dyDescent="0.2">
      <c r="E54" s="85">
        <v>50</v>
      </c>
      <c r="F54" s="82">
        <f t="shared" si="1"/>
        <v>17986.515754582571</v>
      </c>
      <c r="G54" s="82">
        <f t="shared" si="2"/>
        <v>14173.208179466608</v>
      </c>
      <c r="H54" s="82">
        <f t="shared" si="3"/>
        <v>3813.3075751159631</v>
      </c>
      <c r="I54" s="87">
        <f t="shared" si="4"/>
        <v>2830828.3283182057</v>
      </c>
    </row>
    <row r="55" spans="5:9" ht="20.25" customHeight="1" x14ac:dyDescent="0.2">
      <c r="E55" s="85">
        <v>51</v>
      </c>
      <c r="F55" s="82">
        <f t="shared" si="1"/>
        <v>17986.515754582571</v>
      </c>
      <c r="G55" s="82">
        <f t="shared" si="2"/>
        <v>14154.141641591028</v>
      </c>
      <c r="H55" s="82">
        <f t="shared" si="3"/>
        <v>3832.3741129915434</v>
      </c>
      <c r="I55" s="87">
        <f t="shared" si="4"/>
        <v>2826995.954205214</v>
      </c>
    </row>
    <row r="56" spans="5:9" ht="20.25" customHeight="1" x14ac:dyDescent="0.2">
      <c r="E56" s="85">
        <v>52</v>
      </c>
      <c r="F56" s="82">
        <f t="shared" si="1"/>
        <v>17986.515754582571</v>
      </c>
      <c r="G56" s="82">
        <f t="shared" si="2"/>
        <v>14134.97977102607</v>
      </c>
      <c r="H56" s="82">
        <f t="shared" si="3"/>
        <v>3851.5359835565014</v>
      </c>
      <c r="I56" s="87">
        <f t="shared" si="4"/>
        <v>2823144.4182216576</v>
      </c>
    </row>
    <row r="57" spans="5:9" ht="20.25" customHeight="1" x14ac:dyDescent="0.2">
      <c r="E57" s="85">
        <v>53</v>
      </c>
      <c r="F57" s="82">
        <f t="shared" si="1"/>
        <v>17986.515754582571</v>
      </c>
      <c r="G57" s="82">
        <f t="shared" si="2"/>
        <v>14115.722091108286</v>
      </c>
      <c r="H57" s="82">
        <f t="shared" si="3"/>
        <v>3870.7936634742855</v>
      </c>
      <c r="I57" s="87">
        <f t="shared" si="4"/>
        <v>2819273.6245581834</v>
      </c>
    </row>
    <row r="58" spans="5:9" ht="20.25" customHeight="1" x14ac:dyDescent="0.2">
      <c r="E58" s="85">
        <v>54</v>
      </c>
      <c r="F58" s="82">
        <f t="shared" si="1"/>
        <v>17986.515754582571</v>
      </c>
      <c r="G58" s="82">
        <f t="shared" si="2"/>
        <v>14096.368122790916</v>
      </c>
      <c r="H58" s="82">
        <f t="shared" si="3"/>
        <v>3890.1476317916549</v>
      </c>
      <c r="I58" s="87">
        <f t="shared" si="4"/>
        <v>2815383.4769263915</v>
      </c>
    </row>
    <row r="59" spans="5:9" ht="20.25" customHeight="1" x14ac:dyDescent="0.2">
      <c r="E59" s="85">
        <v>55</v>
      </c>
      <c r="F59" s="82">
        <f t="shared" si="1"/>
        <v>17986.515754582571</v>
      </c>
      <c r="G59" s="82">
        <f t="shared" si="2"/>
        <v>14076.917384631955</v>
      </c>
      <c r="H59" s="82">
        <f t="shared" si="3"/>
        <v>3909.598369950616</v>
      </c>
      <c r="I59" s="87">
        <f t="shared" si="4"/>
        <v>2811473.8785564411</v>
      </c>
    </row>
    <row r="60" spans="5:9" ht="20.25" customHeight="1" x14ac:dyDescent="0.2">
      <c r="E60" s="85">
        <v>56</v>
      </c>
      <c r="F60" s="82">
        <f t="shared" si="1"/>
        <v>17986.515754582571</v>
      </c>
      <c r="G60" s="82">
        <f t="shared" si="2"/>
        <v>14057.369392782204</v>
      </c>
      <c r="H60" s="82">
        <f t="shared" si="3"/>
        <v>3929.1463618003672</v>
      </c>
      <c r="I60" s="87">
        <f t="shared" si="4"/>
        <v>2807544.7321946407</v>
      </c>
    </row>
    <row r="61" spans="5:9" ht="20.25" customHeight="1" x14ac:dyDescent="0.2">
      <c r="E61" s="85">
        <v>57</v>
      </c>
      <c r="F61" s="82">
        <f t="shared" si="1"/>
        <v>17986.515754582571</v>
      </c>
      <c r="G61" s="82">
        <f t="shared" si="2"/>
        <v>14037.723660973204</v>
      </c>
      <c r="H61" s="82">
        <f t="shared" si="3"/>
        <v>3948.7920936093669</v>
      </c>
      <c r="I61" s="87">
        <f t="shared" si="4"/>
        <v>2803595.9401010312</v>
      </c>
    </row>
    <row r="62" spans="5:9" ht="20.25" customHeight="1" x14ac:dyDescent="0.2">
      <c r="E62" s="85">
        <v>58</v>
      </c>
      <c r="F62" s="82">
        <f t="shared" si="1"/>
        <v>17986.515754582571</v>
      </c>
      <c r="G62" s="82">
        <f t="shared" si="2"/>
        <v>14017.979700505157</v>
      </c>
      <c r="H62" s="82">
        <f t="shared" si="3"/>
        <v>3968.5360540774145</v>
      </c>
      <c r="I62" s="87">
        <f t="shared" si="4"/>
        <v>2799627.4040469537</v>
      </c>
    </row>
    <row r="63" spans="5:9" ht="20.25" customHeight="1" x14ac:dyDescent="0.2">
      <c r="E63" s="85">
        <v>59</v>
      </c>
      <c r="F63" s="82">
        <f t="shared" si="1"/>
        <v>17986.515754582571</v>
      </c>
      <c r="G63" s="82">
        <f t="shared" si="2"/>
        <v>13998.137020234768</v>
      </c>
      <c r="H63" s="82">
        <f t="shared" si="3"/>
        <v>3988.3787343478034</v>
      </c>
      <c r="I63" s="87">
        <f t="shared" si="4"/>
        <v>2795639.0253126058</v>
      </c>
    </row>
    <row r="64" spans="5:9" ht="20.25" customHeight="1" x14ac:dyDescent="0.2">
      <c r="E64" s="160">
        <v>60</v>
      </c>
      <c r="F64" s="161">
        <f t="shared" si="1"/>
        <v>17986.515754582571</v>
      </c>
      <c r="G64" s="161">
        <f t="shared" si="2"/>
        <v>13978.195126563029</v>
      </c>
      <c r="H64" s="161">
        <f t="shared" si="3"/>
        <v>4008.3206280195427</v>
      </c>
      <c r="I64" s="162">
        <f t="shared" si="4"/>
        <v>2791630.7046845863</v>
      </c>
    </row>
    <row r="65" spans="5:9" ht="20.25" customHeight="1" x14ac:dyDescent="0.2">
      <c r="E65" s="85">
        <v>61</v>
      </c>
      <c r="F65" s="82">
        <f t="shared" si="1"/>
        <v>17986.515754582571</v>
      </c>
      <c r="G65" s="82">
        <f t="shared" si="2"/>
        <v>13958.15352342293</v>
      </c>
      <c r="H65" s="82">
        <f t="shared" si="3"/>
        <v>4028.3622311596409</v>
      </c>
      <c r="I65" s="87">
        <f t="shared" si="4"/>
        <v>2787602.3424534267</v>
      </c>
    </row>
    <row r="66" spans="5:9" ht="20.25" customHeight="1" x14ac:dyDescent="0.2">
      <c r="E66" s="85">
        <v>62</v>
      </c>
      <c r="F66" s="82">
        <f t="shared" si="1"/>
        <v>17986.515754582571</v>
      </c>
      <c r="G66" s="82">
        <f t="shared" si="2"/>
        <v>13938.011712267134</v>
      </c>
      <c r="H66" s="82">
        <f t="shared" si="3"/>
        <v>4048.5040423154369</v>
      </c>
      <c r="I66" s="87">
        <f t="shared" si="4"/>
        <v>2783553.8384111114</v>
      </c>
    </row>
    <row r="67" spans="5:9" ht="20.25" customHeight="1" x14ac:dyDescent="0.2">
      <c r="E67" s="85">
        <v>63</v>
      </c>
      <c r="F67" s="82">
        <f t="shared" si="1"/>
        <v>17986.515754582571</v>
      </c>
      <c r="G67" s="82">
        <f t="shared" si="2"/>
        <v>13917.769192055557</v>
      </c>
      <c r="H67" s="82">
        <f t="shared" si="3"/>
        <v>4068.7465625270142</v>
      </c>
      <c r="I67" s="87">
        <f t="shared" si="4"/>
        <v>2779485.0918485844</v>
      </c>
    </row>
    <row r="68" spans="5:9" ht="20.25" customHeight="1" x14ac:dyDescent="0.2">
      <c r="E68" s="85">
        <v>64</v>
      </c>
      <c r="F68" s="82">
        <f t="shared" si="1"/>
        <v>17986.515754582571</v>
      </c>
      <c r="G68" s="82">
        <f t="shared" si="2"/>
        <v>13897.425459242921</v>
      </c>
      <c r="H68" s="82">
        <f t="shared" si="3"/>
        <v>4089.0902953396508</v>
      </c>
      <c r="I68" s="87">
        <f t="shared" si="4"/>
        <v>2775396.0015532449</v>
      </c>
    </row>
    <row r="69" spans="5:9" ht="20.25" customHeight="1" x14ac:dyDescent="0.2">
      <c r="E69" s="85">
        <v>65</v>
      </c>
      <c r="F69" s="82">
        <f t="shared" ref="F69:F132" si="5">IF($C$7+$C$11&gt;I68,I68*(1+$C$4/12),$C$7+$C$11)</f>
        <v>17986.515754582571</v>
      </c>
      <c r="G69" s="82">
        <f t="shared" si="2"/>
        <v>13876.980007766224</v>
      </c>
      <c r="H69" s="82">
        <f t="shared" si="3"/>
        <v>4109.5357468163475</v>
      </c>
      <c r="I69" s="87">
        <f t="shared" si="4"/>
        <v>2771286.4658064283</v>
      </c>
    </row>
    <row r="70" spans="5:9" ht="20.25" customHeight="1" x14ac:dyDescent="0.2">
      <c r="E70" s="85">
        <v>66</v>
      </c>
      <c r="F70" s="82">
        <f t="shared" si="5"/>
        <v>17986.515754582571</v>
      </c>
      <c r="G70" s="82">
        <f t="shared" ref="G70:G133" si="6">I69*$C$4/12</f>
        <v>13856.432329032141</v>
      </c>
      <c r="H70" s="82">
        <f t="shared" ref="H70:H133" si="7">F70-G70</f>
        <v>4130.0834255504305</v>
      </c>
      <c r="I70" s="87">
        <f t="shared" ref="I70:I133" si="8">IF(I69-$H70&lt;0,0,I69-$H70)</f>
        <v>2767156.3823808781</v>
      </c>
    </row>
    <row r="71" spans="5:9" ht="20.25" customHeight="1" x14ac:dyDescent="0.2">
      <c r="E71" s="85">
        <v>67</v>
      </c>
      <c r="F71" s="82">
        <f t="shared" si="5"/>
        <v>17986.515754582571</v>
      </c>
      <c r="G71" s="82">
        <f t="shared" si="6"/>
        <v>13835.781911904391</v>
      </c>
      <c r="H71" s="82">
        <f t="shared" si="7"/>
        <v>4150.7338426781807</v>
      </c>
      <c r="I71" s="87">
        <f t="shared" si="8"/>
        <v>2763005.6485381997</v>
      </c>
    </row>
    <row r="72" spans="5:9" ht="20.25" customHeight="1" x14ac:dyDescent="0.2">
      <c r="E72" s="85">
        <v>68</v>
      </c>
      <c r="F72" s="82">
        <f t="shared" si="5"/>
        <v>17986.515754582571</v>
      </c>
      <c r="G72" s="82">
        <f t="shared" si="6"/>
        <v>13815.028242690998</v>
      </c>
      <c r="H72" s="82">
        <f t="shared" si="7"/>
        <v>4171.4875118915734</v>
      </c>
      <c r="I72" s="87">
        <f t="shared" si="8"/>
        <v>2758834.1610263083</v>
      </c>
    </row>
    <row r="73" spans="5:9" ht="20.25" customHeight="1" x14ac:dyDescent="0.2">
      <c r="E73" s="85">
        <v>69</v>
      </c>
      <c r="F73" s="82">
        <f t="shared" si="5"/>
        <v>17986.515754582571</v>
      </c>
      <c r="G73" s="82">
        <f t="shared" si="6"/>
        <v>13794.170805131542</v>
      </c>
      <c r="H73" s="82">
        <f t="shared" si="7"/>
        <v>4192.3449494510296</v>
      </c>
      <c r="I73" s="87">
        <f t="shared" si="8"/>
        <v>2754641.8160768575</v>
      </c>
    </row>
    <row r="74" spans="5:9" ht="20.25" customHeight="1" x14ac:dyDescent="0.2">
      <c r="E74" s="85">
        <v>70</v>
      </c>
      <c r="F74" s="82">
        <f t="shared" si="5"/>
        <v>17986.515754582571</v>
      </c>
      <c r="G74" s="82">
        <f t="shared" si="6"/>
        <v>13773.209080384288</v>
      </c>
      <c r="H74" s="82">
        <f t="shared" si="7"/>
        <v>4213.3066741982839</v>
      </c>
      <c r="I74" s="87">
        <f t="shared" si="8"/>
        <v>2750428.5094026593</v>
      </c>
    </row>
    <row r="75" spans="5:9" ht="20.25" customHeight="1" x14ac:dyDescent="0.2">
      <c r="E75" s="85">
        <v>71</v>
      </c>
      <c r="F75" s="82">
        <f t="shared" si="5"/>
        <v>17986.515754582571</v>
      </c>
      <c r="G75" s="82">
        <f t="shared" si="6"/>
        <v>13752.142547013296</v>
      </c>
      <c r="H75" s="82">
        <f t="shared" si="7"/>
        <v>4234.3732075692751</v>
      </c>
      <c r="I75" s="87">
        <f t="shared" si="8"/>
        <v>2746194.1361950901</v>
      </c>
    </row>
    <row r="76" spans="5:9" ht="20.25" customHeight="1" x14ac:dyDescent="0.2">
      <c r="E76" s="160">
        <v>72</v>
      </c>
      <c r="F76" s="161">
        <f t="shared" si="5"/>
        <v>17986.515754582571</v>
      </c>
      <c r="G76" s="161">
        <f t="shared" si="6"/>
        <v>13730.97068097545</v>
      </c>
      <c r="H76" s="161">
        <f t="shared" si="7"/>
        <v>4255.5450736071216</v>
      </c>
      <c r="I76" s="162">
        <f t="shared" si="8"/>
        <v>2741938.5911214831</v>
      </c>
    </row>
    <row r="77" spans="5:9" ht="20.25" customHeight="1" x14ac:dyDescent="0.2">
      <c r="E77" s="85">
        <v>73</v>
      </c>
      <c r="F77" s="82">
        <f t="shared" si="5"/>
        <v>17986.515754582571</v>
      </c>
      <c r="G77" s="82">
        <f t="shared" si="6"/>
        <v>13709.692955607416</v>
      </c>
      <c r="H77" s="82">
        <f t="shared" si="7"/>
        <v>4276.8227989751558</v>
      </c>
      <c r="I77" s="87">
        <f t="shared" si="8"/>
        <v>2737661.7683225079</v>
      </c>
    </row>
    <row r="78" spans="5:9" ht="20.25" customHeight="1" x14ac:dyDescent="0.2">
      <c r="E78" s="85">
        <v>74</v>
      </c>
      <c r="F78" s="82">
        <f t="shared" si="5"/>
        <v>17986.515754582571</v>
      </c>
      <c r="G78" s="82">
        <f t="shared" si="6"/>
        <v>13688.308841612539</v>
      </c>
      <c r="H78" s="82">
        <f t="shared" si="7"/>
        <v>4298.2069129700321</v>
      </c>
      <c r="I78" s="87">
        <f t="shared" si="8"/>
        <v>2733363.5614095377</v>
      </c>
    </row>
    <row r="79" spans="5:9" ht="20.25" customHeight="1" x14ac:dyDescent="0.2">
      <c r="E79" s="85">
        <v>75</v>
      </c>
      <c r="F79" s="82">
        <f t="shared" si="5"/>
        <v>17986.515754582571</v>
      </c>
      <c r="G79" s="82">
        <f t="shared" si="6"/>
        <v>13666.817807047688</v>
      </c>
      <c r="H79" s="82">
        <f t="shared" si="7"/>
        <v>4319.6979475348835</v>
      </c>
      <c r="I79" s="87">
        <f t="shared" si="8"/>
        <v>2729043.8634620029</v>
      </c>
    </row>
    <row r="80" spans="5:9" ht="20.25" customHeight="1" x14ac:dyDescent="0.2">
      <c r="E80" s="85">
        <v>76</v>
      </c>
      <c r="F80" s="82">
        <f t="shared" si="5"/>
        <v>17986.515754582571</v>
      </c>
      <c r="G80" s="82">
        <f t="shared" si="6"/>
        <v>13645.219317310015</v>
      </c>
      <c r="H80" s="82">
        <f t="shared" si="7"/>
        <v>4341.2964372725564</v>
      </c>
      <c r="I80" s="87">
        <f t="shared" si="8"/>
        <v>2724702.5670247306</v>
      </c>
    </row>
    <row r="81" spans="5:9" ht="20.25" customHeight="1" x14ac:dyDescent="0.2">
      <c r="E81" s="85">
        <v>77</v>
      </c>
      <c r="F81" s="82">
        <f t="shared" si="5"/>
        <v>17986.515754582571</v>
      </c>
      <c r="G81" s="82">
        <f t="shared" si="6"/>
        <v>13623.512835123651</v>
      </c>
      <c r="H81" s="82">
        <f t="shared" si="7"/>
        <v>4363.0029194589206</v>
      </c>
      <c r="I81" s="87">
        <f t="shared" si="8"/>
        <v>2720339.5641052718</v>
      </c>
    </row>
    <row r="82" spans="5:9" ht="20.25" customHeight="1" x14ac:dyDescent="0.2">
      <c r="E82" s="85">
        <v>78</v>
      </c>
      <c r="F82" s="82">
        <f t="shared" si="5"/>
        <v>17986.515754582571</v>
      </c>
      <c r="G82" s="82">
        <f t="shared" si="6"/>
        <v>13601.697820526359</v>
      </c>
      <c r="H82" s="82">
        <f t="shared" si="7"/>
        <v>4384.8179340562128</v>
      </c>
      <c r="I82" s="87">
        <f t="shared" si="8"/>
        <v>2715954.7461712155</v>
      </c>
    </row>
    <row r="83" spans="5:9" ht="20.25" customHeight="1" x14ac:dyDescent="0.2">
      <c r="E83" s="85">
        <v>79</v>
      </c>
      <c r="F83" s="82">
        <f t="shared" si="5"/>
        <v>17986.515754582571</v>
      </c>
      <c r="G83" s="82">
        <f t="shared" si="6"/>
        <v>13579.773730856077</v>
      </c>
      <c r="H83" s="82">
        <f t="shared" si="7"/>
        <v>4406.7420237264942</v>
      </c>
      <c r="I83" s="87">
        <f t="shared" si="8"/>
        <v>2711548.0041474891</v>
      </c>
    </row>
    <row r="84" spans="5:9" ht="20.25" customHeight="1" x14ac:dyDescent="0.2">
      <c r="E84" s="85">
        <v>80</v>
      </c>
      <c r="F84" s="82">
        <f t="shared" si="5"/>
        <v>17986.515754582571</v>
      </c>
      <c r="G84" s="82">
        <f t="shared" si="6"/>
        <v>13557.740020737445</v>
      </c>
      <c r="H84" s="82">
        <f t="shared" si="7"/>
        <v>4428.7757338451265</v>
      </c>
      <c r="I84" s="87">
        <f t="shared" si="8"/>
        <v>2707119.2284136438</v>
      </c>
    </row>
    <row r="85" spans="5:9" ht="20.25" customHeight="1" x14ac:dyDescent="0.2">
      <c r="E85" s="85">
        <v>81</v>
      </c>
      <c r="F85" s="82">
        <f t="shared" si="5"/>
        <v>17986.515754582571</v>
      </c>
      <c r="G85" s="82">
        <f t="shared" si="6"/>
        <v>13535.59614206822</v>
      </c>
      <c r="H85" s="82">
        <f t="shared" si="7"/>
        <v>4450.9196125143517</v>
      </c>
      <c r="I85" s="87">
        <f t="shared" si="8"/>
        <v>2702668.3088011295</v>
      </c>
    </row>
    <row r="86" spans="5:9" ht="20.25" customHeight="1" x14ac:dyDescent="0.2">
      <c r="E86" s="85">
        <v>82</v>
      </c>
      <c r="F86" s="82">
        <f t="shared" si="5"/>
        <v>17986.515754582571</v>
      </c>
      <c r="G86" s="82">
        <f t="shared" si="6"/>
        <v>13513.341544005647</v>
      </c>
      <c r="H86" s="82">
        <f t="shared" si="7"/>
        <v>4473.1742105769245</v>
      </c>
      <c r="I86" s="87">
        <f t="shared" si="8"/>
        <v>2698195.1345905527</v>
      </c>
    </row>
    <row r="87" spans="5:9" ht="20.25" customHeight="1" x14ac:dyDescent="0.2">
      <c r="E87" s="85">
        <v>83</v>
      </c>
      <c r="F87" s="82">
        <f t="shared" si="5"/>
        <v>17986.515754582571</v>
      </c>
      <c r="G87" s="82">
        <f t="shared" si="6"/>
        <v>13490.975672952763</v>
      </c>
      <c r="H87" s="82">
        <f t="shared" si="7"/>
        <v>4495.5400816298079</v>
      </c>
      <c r="I87" s="87">
        <f t="shared" si="8"/>
        <v>2693699.5945089227</v>
      </c>
    </row>
    <row r="88" spans="5:9" ht="20.25" customHeight="1" x14ac:dyDescent="0.2">
      <c r="E88" s="160">
        <v>84</v>
      </c>
      <c r="F88" s="161">
        <f t="shared" si="5"/>
        <v>17986.515754582571</v>
      </c>
      <c r="G88" s="161">
        <f t="shared" si="6"/>
        <v>13468.497972544612</v>
      </c>
      <c r="H88" s="161">
        <f t="shared" si="7"/>
        <v>4518.0177820379595</v>
      </c>
      <c r="I88" s="162">
        <f t="shared" si="8"/>
        <v>2689181.5767268846</v>
      </c>
    </row>
    <row r="89" spans="5:9" ht="20.25" customHeight="1" x14ac:dyDescent="0.2">
      <c r="E89" s="85">
        <v>85</v>
      </c>
      <c r="F89" s="82">
        <f t="shared" si="5"/>
        <v>17986.515754582571</v>
      </c>
      <c r="G89" s="82">
        <f t="shared" si="6"/>
        <v>13445.907883634422</v>
      </c>
      <c r="H89" s="82">
        <f t="shared" si="7"/>
        <v>4540.6078709481499</v>
      </c>
      <c r="I89" s="87">
        <f t="shared" si="8"/>
        <v>2684640.9688559365</v>
      </c>
    </row>
    <row r="90" spans="5:9" ht="20.25" customHeight="1" x14ac:dyDescent="0.2">
      <c r="E90" s="85">
        <v>86</v>
      </c>
      <c r="F90" s="82">
        <f t="shared" si="5"/>
        <v>17986.515754582571</v>
      </c>
      <c r="G90" s="82">
        <f t="shared" si="6"/>
        <v>13423.204844279682</v>
      </c>
      <c r="H90" s="82">
        <f t="shared" si="7"/>
        <v>4563.3109103028892</v>
      </c>
      <c r="I90" s="87">
        <f t="shared" si="8"/>
        <v>2680077.6579456339</v>
      </c>
    </row>
    <row r="91" spans="5:9" ht="20.25" customHeight="1" x14ac:dyDescent="0.2">
      <c r="E91" s="85">
        <v>87</v>
      </c>
      <c r="F91" s="82">
        <f t="shared" si="5"/>
        <v>17986.515754582571</v>
      </c>
      <c r="G91" s="82">
        <f t="shared" si="6"/>
        <v>13400.388289728167</v>
      </c>
      <c r="H91" s="82">
        <f t="shared" si="7"/>
        <v>4586.127464854404</v>
      </c>
      <c r="I91" s="87">
        <f t="shared" si="8"/>
        <v>2675491.5304807792</v>
      </c>
    </row>
    <row r="92" spans="5:9" ht="20.25" customHeight="1" x14ac:dyDescent="0.2">
      <c r="E92" s="85">
        <v>88</v>
      </c>
      <c r="F92" s="82">
        <f t="shared" si="5"/>
        <v>17986.515754582571</v>
      </c>
      <c r="G92" s="82">
        <f t="shared" si="6"/>
        <v>13377.457652403895</v>
      </c>
      <c r="H92" s="82">
        <f t="shared" si="7"/>
        <v>4609.0581021786766</v>
      </c>
      <c r="I92" s="87">
        <f t="shared" si="8"/>
        <v>2670882.4723786004</v>
      </c>
    </row>
    <row r="93" spans="5:9" ht="20.25" customHeight="1" x14ac:dyDescent="0.2">
      <c r="E93" s="85">
        <v>89</v>
      </c>
      <c r="F93" s="82">
        <f t="shared" si="5"/>
        <v>17986.515754582571</v>
      </c>
      <c r="G93" s="82">
        <f t="shared" si="6"/>
        <v>13354.412361893003</v>
      </c>
      <c r="H93" s="82">
        <f t="shared" si="7"/>
        <v>4632.1033926895689</v>
      </c>
      <c r="I93" s="87">
        <f t="shared" si="8"/>
        <v>2666250.3689859109</v>
      </c>
    </row>
    <row r="94" spans="5:9" ht="20.25" customHeight="1" x14ac:dyDescent="0.2">
      <c r="E94" s="85">
        <v>90</v>
      </c>
      <c r="F94" s="82">
        <f t="shared" si="5"/>
        <v>17986.515754582571</v>
      </c>
      <c r="G94" s="82">
        <f t="shared" si="6"/>
        <v>13331.251844929553</v>
      </c>
      <c r="H94" s="82">
        <f t="shared" si="7"/>
        <v>4655.2639096530183</v>
      </c>
      <c r="I94" s="87">
        <f t="shared" si="8"/>
        <v>2661595.1050762581</v>
      </c>
    </row>
    <row r="95" spans="5:9" ht="20.25" customHeight="1" x14ac:dyDescent="0.2">
      <c r="E95" s="85">
        <v>91</v>
      </c>
      <c r="F95" s="82">
        <f t="shared" si="5"/>
        <v>17986.515754582571</v>
      </c>
      <c r="G95" s="82">
        <f t="shared" si="6"/>
        <v>13307.975525381291</v>
      </c>
      <c r="H95" s="82">
        <f t="shared" si="7"/>
        <v>4678.5402292012805</v>
      </c>
      <c r="I95" s="87">
        <f t="shared" si="8"/>
        <v>2656916.5648470568</v>
      </c>
    </row>
    <row r="96" spans="5:9" ht="20.25" customHeight="1" x14ac:dyDescent="0.2">
      <c r="E96" s="85">
        <v>92</v>
      </c>
      <c r="F96" s="82">
        <f t="shared" si="5"/>
        <v>17986.515754582571</v>
      </c>
      <c r="G96" s="82">
        <f t="shared" si="6"/>
        <v>13284.582824235282</v>
      </c>
      <c r="H96" s="82">
        <f t="shared" si="7"/>
        <v>4701.9329303472896</v>
      </c>
      <c r="I96" s="87">
        <f t="shared" si="8"/>
        <v>2652214.6319167092</v>
      </c>
    </row>
    <row r="97" spans="5:9" ht="20.25" customHeight="1" x14ac:dyDescent="0.2">
      <c r="E97" s="85">
        <v>93</v>
      </c>
      <c r="F97" s="82">
        <f t="shared" si="5"/>
        <v>17986.515754582571</v>
      </c>
      <c r="G97" s="82">
        <f t="shared" si="6"/>
        <v>13261.073159583546</v>
      </c>
      <c r="H97" s="82">
        <f t="shared" si="7"/>
        <v>4725.4425949990255</v>
      </c>
      <c r="I97" s="87">
        <f t="shared" si="8"/>
        <v>2647489.1893217103</v>
      </c>
    </row>
    <row r="98" spans="5:9" ht="20.25" customHeight="1" x14ac:dyDescent="0.2">
      <c r="E98" s="85">
        <v>94</v>
      </c>
      <c r="F98" s="82">
        <f t="shared" si="5"/>
        <v>17986.515754582571</v>
      </c>
      <c r="G98" s="82">
        <f t="shared" si="6"/>
        <v>13237.445946608552</v>
      </c>
      <c r="H98" s="82">
        <f t="shared" si="7"/>
        <v>4749.0698079740196</v>
      </c>
      <c r="I98" s="87">
        <f t="shared" si="8"/>
        <v>2642740.1195137361</v>
      </c>
    </row>
    <row r="99" spans="5:9" ht="20.25" customHeight="1" x14ac:dyDescent="0.2">
      <c r="E99" s="85">
        <v>95</v>
      </c>
      <c r="F99" s="82">
        <f t="shared" si="5"/>
        <v>17986.515754582571</v>
      </c>
      <c r="G99" s="82">
        <f t="shared" si="6"/>
        <v>13213.700597568679</v>
      </c>
      <c r="H99" s="82">
        <f t="shared" si="7"/>
        <v>4772.8151570138925</v>
      </c>
      <c r="I99" s="87">
        <f t="shared" si="8"/>
        <v>2637967.3043567222</v>
      </c>
    </row>
    <row r="100" spans="5:9" ht="20.25" customHeight="1" x14ac:dyDescent="0.2">
      <c r="E100" s="160">
        <v>96</v>
      </c>
      <c r="F100" s="161">
        <f t="shared" si="5"/>
        <v>17986.515754582571</v>
      </c>
      <c r="G100" s="161">
        <f t="shared" si="6"/>
        <v>13189.836521783611</v>
      </c>
      <c r="H100" s="161">
        <f t="shared" si="7"/>
        <v>4796.6792327989606</v>
      </c>
      <c r="I100" s="162">
        <f t="shared" si="8"/>
        <v>2633170.6251239232</v>
      </c>
    </row>
    <row r="101" spans="5:9" ht="20.25" customHeight="1" x14ac:dyDescent="0.2">
      <c r="E101" s="85">
        <v>97</v>
      </c>
      <c r="F101" s="82">
        <f t="shared" si="5"/>
        <v>17986.515754582571</v>
      </c>
      <c r="G101" s="82">
        <f t="shared" si="6"/>
        <v>13165.853125619615</v>
      </c>
      <c r="H101" s="82">
        <f t="shared" si="7"/>
        <v>4820.6626289629567</v>
      </c>
      <c r="I101" s="87">
        <f t="shared" si="8"/>
        <v>2628349.9624949601</v>
      </c>
    </row>
    <row r="102" spans="5:9" ht="20.25" customHeight="1" x14ac:dyDescent="0.2">
      <c r="E102" s="85">
        <v>98</v>
      </c>
      <c r="F102" s="82">
        <f t="shared" si="5"/>
        <v>17986.515754582571</v>
      </c>
      <c r="G102" s="82">
        <f t="shared" si="6"/>
        <v>13141.7498124748</v>
      </c>
      <c r="H102" s="82">
        <f t="shared" si="7"/>
        <v>4844.7659421077715</v>
      </c>
      <c r="I102" s="87">
        <f t="shared" si="8"/>
        <v>2623505.1965528522</v>
      </c>
    </row>
    <row r="103" spans="5:9" ht="20.25" customHeight="1" x14ac:dyDescent="0.2">
      <c r="E103" s="85">
        <v>99</v>
      </c>
      <c r="F103" s="82">
        <f t="shared" si="5"/>
        <v>17986.515754582571</v>
      </c>
      <c r="G103" s="82">
        <f t="shared" si="6"/>
        <v>13117.52598276426</v>
      </c>
      <c r="H103" s="82">
        <f t="shared" si="7"/>
        <v>4868.9897718183111</v>
      </c>
      <c r="I103" s="87">
        <f t="shared" si="8"/>
        <v>2618636.2067810339</v>
      </c>
    </row>
    <row r="104" spans="5:9" ht="20.25" customHeight="1" x14ac:dyDescent="0.2">
      <c r="E104" s="85">
        <v>100</v>
      </c>
      <c r="F104" s="82">
        <f t="shared" si="5"/>
        <v>17986.515754582571</v>
      </c>
      <c r="G104" s="82">
        <f t="shared" si="6"/>
        <v>13093.181033905168</v>
      </c>
      <c r="H104" s="82">
        <f t="shared" si="7"/>
        <v>4893.3347206774033</v>
      </c>
      <c r="I104" s="87">
        <f t="shared" si="8"/>
        <v>2613742.8720603567</v>
      </c>
    </row>
    <row r="105" spans="5:9" ht="20.25" customHeight="1" x14ac:dyDescent="0.2">
      <c r="E105" s="85">
        <v>101</v>
      </c>
      <c r="F105" s="82">
        <f t="shared" si="5"/>
        <v>17986.515754582571</v>
      </c>
      <c r="G105" s="82">
        <f t="shared" si="6"/>
        <v>13068.714360301783</v>
      </c>
      <c r="H105" s="82">
        <f t="shared" si="7"/>
        <v>4917.8013942807884</v>
      </c>
      <c r="I105" s="87">
        <f t="shared" si="8"/>
        <v>2608825.0706660757</v>
      </c>
    </row>
    <row r="106" spans="5:9" ht="20.25" customHeight="1" x14ac:dyDescent="0.2">
      <c r="E106" s="85">
        <v>102</v>
      </c>
      <c r="F106" s="82">
        <f t="shared" si="5"/>
        <v>17986.515754582571</v>
      </c>
      <c r="G106" s="82">
        <f t="shared" si="6"/>
        <v>13044.125353330377</v>
      </c>
      <c r="H106" s="82">
        <f t="shared" si="7"/>
        <v>4942.3904012521944</v>
      </c>
      <c r="I106" s="87">
        <f t="shared" si="8"/>
        <v>2603882.6802648236</v>
      </c>
    </row>
    <row r="107" spans="5:9" ht="20.25" customHeight="1" x14ac:dyDescent="0.2">
      <c r="E107" s="85">
        <v>103</v>
      </c>
      <c r="F107" s="82">
        <f t="shared" si="5"/>
        <v>17986.515754582571</v>
      </c>
      <c r="G107" s="82">
        <f t="shared" si="6"/>
        <v>13019.413401324118</v>
      </c>
      <c r="H107" s="82">
        <f t="shared" si="7"/>
        <v>4967.1023532584531</v>
      </c>
      <c r="I107" s="87">
        <f t="shared" si="8"/>
        <v>2598915.5779115651</v>
      </c>
    </row>
    <row r="108" spans="5:9" ht="20.25" customHeight="1" x14ac:dyDescent="0.2">
      <c r="E108" s="85">
        <v>104</v>
      </c>
      <c r="F108" s="82">
        <f t="shared" si="5"/>
        <v>17986.515754582571</v>
      </c>
      <c r="G108" s="82">
        <f t="shared" si="6"/>
        <v>12994.577889557826</v>
      </c>
      <c r="H108" s="82">
        <f t="shared" si="7"/>
        <v>4991.9378650247454</v>
      </c>
      <c r="I108" s="87">
        <f t="shared" si="8"/>
        <v>2593923.6400465402</v>
      </c>
    </row>
    <row r="109" spans="5:9" ht="20.25" customHeight="1" x14ac:dyDescent="0.2">
      <c r="E109" s="85">
        <v>105</v>
      </c>
      <c r="F109" s="82">
        <f t="shared" si="5"/>
        <v>17986.515754582571</v>
      </c>
      <c r="G109" s="82">
        <f t="shared" si="6"/>
        <v>12969.618200232699</v>
      </c>
      <c r="H109" s="82">
        <f t="shared" si="7"/>
        <v>5016.8975543498727</v>
      </c>
      <c r="I109" s="87">
        <f t="shared" si="8"/>
        <v>2588906.7424921901</v>
      </c>
    </row>
    <row r="110" spans="5:9" ht="20.25" customHeight="1" x14ac:dyDescent="0.2">
      <c r="E110" s="85">
        <v>106</v>
      </c>
      <c r="F110" s="82">
        <f t="shared" si="5"/>
        <v>17986.515754582571</v>
      </c>
      <c r="G110" s="82">
        <f t="shared" si="6"/>
        <v>12944.53371246095</v>
      </c>
      <c r="H110" s="82">
        <f t="shared" si="7"/>
        <v>5041.9820421216209</v>
      </c>
      <c r="I110" s="87">
        <f t="shared" si="8"/>
        <v>2583864.7604500684</v>
      </c>
    </row>
    <row r="111" spans="5:9" ht="20.25" customHeight="1" x14ac:dyDescent="0.2">
      <c r="E111" s="85">
        <v>107</v>
      </c>
      <c r="F111" s="82">
        <f t="shared" si="5"/>
        <v>17986.515754582571</v>
      </c>
      <c r="G111" s="82">
        <f t="shared" si="6"/>
        <v>12919.323802250341</v>
      </c>
      <c r="H111" s="82">
        <f t="shared" si="7"/>
        <v>5067.1919523322304</v>
      </c>
      <c r="I111" s="87">
        <f t="shared" si="8"/>
        <v>2578797.568497736</v>
      </c>
    </row>
    <row r="112" spans="5:9" ht="20.25" customHeight="1" x14ac:dyDescent="0.2">
      <c r="E112" s="160">
        <v>108</v>
      </c>
      <c r="F112" s="161">
        <f t="shared" si="5"/>
        <v>17986.515754582571</v>
      </c>
      <c r="G112" s="161">
        <f t="shared" si="6"/>
        <v>12893.987842488679</v>
      </c>
      <c r="H112" s="161">
        <f t="shared" si="7"/>
        <v>5092.5279120938922</v>
      </c>
      <c r="I112" s="162">
        <f t="shared" si="8"/>
        <v>2573705.0405856422</v>
      </c>
    </row>
    <row r="113" spans="5:9" ht="20.25" customHeight="1" x14ac:dyDescent="0.2">
      <c r="E113" s="85">
        <v>109</v>
      </c>
      <c r="F113" s="82">
        <f t="shared" si="5"/>
        <v>17986.515754582571</v>
      </c>
      <c r="G113" s="82">
        <f t="shared" si="6"/>
        <v>12868.525202928211</v>
      </c>
      <c r="H113" s="82">
        <f t="shared" si="7"/>
        <v>5117.9905516543604</v>
      </c>
      <c r="I113" s="87">
        <f t="shared" si="8"/>
        <v>2568587.050033988</v>
      </c>
    </row>
    <row r="114" spans="5:9" ht="20.25" customHeight="1" x14ac:dyDescent="0.2">
      <c r="E114" s="85">
        <v>110</v>
      </c>
      <c r="F114" s="82">
        <f t="shared" si="5"/>
        <v>17986.515754582571</v>
      </c>
      <c r="G114" s="82">
        <f t="shared" si="6"/>
        <v>12842.93525016994</v>
      </c>
      <c r="H114" s="82">
        <f t="shared" si="7"/>
        <v>5143.5805044126319</v>
      </c>
      <c r="I114" s="87">
        <f t="shared" si="8"/>
        <v>2563443.4695295752</v>
      </c>
    </row>
    <row r="115" spans="5:9" ht="20.25" customHeight="1" x14ac:dyDescent="0.2">
      <c r="E115" s="85">
        <v>111</v>
      </c>
      <c r="F115" s="82">
        <f t="shared" si="5"/>
        <v>17986.515754582571</v>
      </c>
      <c r="G115" s="82">
        <f t="shared" si="6"/>
        <v>12817.217347647877</v>
      </c>
      <c r="H115" s="82">
        <f t="shared" si="7"/>
        <v>5169.2984069346949</v>
      </c>
      <c r="I115" s="87">
        <f t="shared" si="8"/>
        <v>2558274.1711226404</v>
      </c>
    </row>
    <row r="116" spans="5:9" ht="20.25" customHeight="1" x14ac:dyDescent="0.2">
      <c r="E116" s="85">
        <v>112</v>
      </c>
      <c r="F116" s="82">
        <f t="shared" si="5"/>
        <v>17986.515754582571</v>
      </c>
      <c r="G116" s="82">
        <f t="shared" si="6"/>
        <v>12791.370855613202</v>
      </c>
      <c r="H116" s="82">
        <f t="shared" si="7"/>
        <v>5195.144898969369</v>
      </c>
      <c r="I116" s="87">
        <f t="shared" si="8"/>
        <v>2553079.0262236712</v>
      </c>
    </row>
    <row r="117" spans="5:9" ht="20.25" customHeight="1" x14ac:dyDescent="0.2">
      <c r="E117" s="85">
        <v>113</v>
      </c>
      <c r="F117" s="82">
        <f t="shared" si="5"/>
        <v>17986.515754582571</v>
      </c>
      <c r="G117" s="82">
        <f t="shared" si="6"/>
        <v>12765.395131118355</v>
      </c>
      <c r="H117" s="82">
        <f t="shared" si="7"/>
        <v>5221.1206234642159</v>
      </c>
      <c r="I117" s="87">
        <f t="shared" si="8"/>
        <v>2547857.9056002069</v>
      </c>
    </row>
    <row r="118" spans="5:9" ht="20.25" customHeight="1" x14ac:dyDescent="0.2">
      <c r="E118" s="85">
        <v>114</v>
      </c>
      <c r="F118" s="82">
        <f t="shared" si="5"/>
        <v>17986.515754582571</v>
      </c>
      <c r="G118" s="82">
        <f t="shared" si="6"/>
        <v>12739.289528001034</v>
      </c>
      <c r="H118" s="82">
        <f t="shared" si="7"/>
        <v>5247.226226581537</v>
      </c>
      <c r="I118" s="87">
        <f t="shared" si="8"/>
        <v>2542610.6793736252</v>
      </c>
    </row>
    <row r="119" spans="5:9" ht="20.25" customHeight="1" x14ac:dyDescent="0.2">
      <c r="E119" s="85">
        <v>115</v>
      </c>
      <c r="F119" s="82">
        <f t="shared" si="5"/>
        <v>17986.515754582571</v>
      </c>
      <c r="G119" s="82">
        <f t="shared" si="6"/>
        <v>12713.053396868127</v>
      </c>
      <c r="H119" s="82">
        <f t="shared" si="7"/>
        <v>5273.4623577144448</v>
      </c>
      <c r="I119" s="87">
        <f t="shared" si="8"/>
        <v>2537337.2170159109</v>
      </c>
    </row>
    <row r="120" spans="5:9" ht="20.25" customHeight="1" x14ac:dyDescent="0.2">
      <c r="E120" s="85">
        <v>116</v>
      </c>
      <c r="F120" s="82">
        <f t="shared" si="5"/>
        <v>17986.515754582571</v>
      </c>
      <c r="G120" s="82">
        <f t="shared" si="6"/>
        <v>12686.686085079555</v>
      </c>
      <c r="H120" s="82">
        <f t="shared" si="7"/>
        <v>5299.8296695030167</v>
      </c>
      <c r="I120" s="87">
        <f t="shared" si="8"/>
        <v>2532037.3873464079</v>
      </c>
    </row>
    <row r="121" spans="5:9" ht="20.25" customHeight="1" x14ac:dyDescent="0.2">
      <c r="E121" s="85">
        <v>117</v>
      </c>
      <c r="F121" s="82">
        <f t="shared" si="5"/>
        <v>17986.515754582571</v>
      </c>
      <c r="G121" s="82">
        <f t="shared" si="6"/>
        <v>12660.18693673204</v>
      </c>
      <c r="H121" s="82">
        <f t="shared" si="7"/>
        <v>5326.3288178505318</v>
      </c>
      <c r="I121" s="87">
        <f t="shared" si="8"/>
        <v>2526711.0585285574</v>
      </c>
    </row>
    <row r="122" spans="5:9" ht="20.25" customHeight="1" x14ac:dyDescent="0.2">
      <c r="E122" s="85">
        <v>118</v>
      </c>
      <c r="F122" s="82">
        <f t="shared" si="5"/>
        <v>17986.515754582571</v>
      </c>
      <c r="G122" s="82">
        <f t="shared" si="6"/>
        <v>12633.555292642786</v>
      </c>
      <c r="H122" s="82">
        <f t="shared" si="7"/>
        <v>5352.9604619397851</v>
      </c>
      <c r="I122" s="87">
        <f t="shared" si="8"/>
        <v>2521358.0980666177</v>
      </c>
    </row>
    <row r="123" spans="5:9" ht="20.25" customHeight="1" x14ac:dyDescent="0.2">
      <c r="E123" s="85">
        <v>119</v>
      </c>
      <c r="F123" s="82">
        <f t="shared" si="5"/>
        <v>17986.515754582571</v>
      </c>
      <c r="G123" s="82">
        <f t="shared" si="6"/>
        <v>12606.790490333087</v>
      </c>
      <c r="H123" s="82">
        <f t="shared" si="7"/>
        <v>5379.7252642494841</v>
      </c>
      <c r="I123" s="87">
        <f t="shared" si="8"/>
        <v>2515978.3728023684</v>
      </c>
    </row>
    <row r="124" spans="5:9" ht="20.25" customHeight="1" x14ac:dyDescent="0.2">
      <c r="E124" s="160">
        <v>120</v>
      </c>
      <c r="F124" s="161">
        <f t="shared" si="5"/>
        <v>17986.515754582571</v>
      </c>
      <c r="G124" s="161">
        <f t="shared" si="6"/>
        <v>12579.891864011841</v>
      </c>
      <c r="H124" s="161">
        <f t="shared" si="7"/>
        <v>5406.6238905707305</v>
      </c>
      <c r="I124" s="162">
        <f t="shared" si="8"/>
        <v>2510571.7489117975</v>
      </c>
    </row>
    <row r="125" spans="5:9" ht="20.25" customHeight="1" x14ac:dyDescent="0.2">
      <c r="E125" s="85">
        <v>121</v>
      </c>
      <c r="F125" s="82">
        <f t="shared" si="5"/>
        <v>17986.515754582571</v>
      </c>
      <c r="G125" s="82">
        <f t="shared" si="6"/>
        <v>12552.858744558987</v>
      </c>
      <c r="H125" s="82">
        <f t="shared" si="7"/>
        <v>5433.657010023584</v>
      </c>
      <c r="I125" s="87">
        <f t="shared" si="8"/>
        <v>2505138.0919017741</v>
      </c>
    </row>
    <row r="126" spans="5:9" ht="20.25" customHeight="1" x14ac:dyDescent="0.2">
      <c r="E126" s="85">
        <v>122</v>
      </c>
      <c r="F126" s="82">
        <f t="shared" si="5"/>
        <v>17986.515754582571</v>
      </c>
      <c r="G126" s="82">
        <f t="shared" si="6"/>
        <v>12525.690459508871</v>
      </c>
      <c r="H126" s="82">
        <f t="shared" si="7"/>
        <v>5460.8252950737005</v>
      </c>
      <c r="I126" s="87">
        <f t="shared" si="8"/>
        <v>2499677.2666067001</v>
      </c>
    </row>
    <row r="127" spans="5:9" ht="20.25" customHeight="1" x14ac:dyDescent="0.2">
      <c r="E127" s="85">
        <v>123</v>
      </c>
      <c r="F127" s="82">
        <f t="shared" si="5"/>
        <v>17986.515754582571</v>
      </c>
      <c r="G127" s="82">
        <f t="shared" si="6"/>
        <v>12498.386333033501</v>
      </c>
      <c r="H127" s="82">
        <f t="shared" si="7"/>
        <v>5488.1294215490707</v>
      </c>
      <c r="I127" s="87">
        <f t="shared" si="8"/>
        <v>2494189.1371851512</v>
      </c>
    </row>
    <row r="128" spans="5:9" ht="20.25" customHeight="1" x14ac:dyDescent="0.2">
      <c r="E128" s="85">
        <v>124</v>
      </c>
      <c r="F128" s="82">
        <f t="shared" si="5"/>
        <v>17986.515754582571</v>
      </c>
      <c r="G128" s="82">
        <f t="shared" si="6"/>
        <v>12470.945685925755</v>
      </c>
      <c r="H128" s="82">
        <f t="shared" si="7"/>
        <v>5515.5700686568161</v>
      </c>
      <c r="I128" s="87">
        <f t="shared" si="8"/>
        <v>2488673.5671164943</v>
      </c>
    </row>
    <row r="129" spans="5:9" ht="20.25" customHeight="1" x14ac:dyDescent="0.2">
      <c r="E129" s="85">
        <v>125</v>
      </c>
      <c r="F129" s="82">
        <f t="shared" si="5"/>
        <v>17986.515754582571</v>
      </c>
      <c r="G129" s="82">
        <f t="shared" si="6"/>
        <v>12443.367835582472</v>
      </c>
      <c r="H129" s="82">
        <f t="shared" si="7"/>
        <v>5543.1479190000991</v>
      </c>
      <c r="I129" s="87">
        <f t="shared" si="8"/>
        <v>2483130.4191974942</v>
      </c>
    </row>
    <row r="130" spans="5:9" ht="20.25" customHeight="1" x14ac:dyDescent="0.2">
      <c r="E130" s="85">
        <v>126</v>
      </c>
      <c r="F130" s="82">
        <f t="shared" si="5"/>
        <v>17986.515754582571</v>
      </c>
      <c r="G130" s="82">
        <f t="shared" si="6"/>
        <v>12415.652095987471</v>
      </c>
      <c r="H130" s="82">
        <f t="shared" si="7"/>
        <v>5570.8636585951008</v>
      </c>
      <c r="I130" s="87">
        <f t="shared" si="8"/>
        <v>2477559.5555388993</v>
      </c>
    </row>
    <row r="131" spans="5:9" ht="20.25" customHeight="1" x14ac:dyDescent="0.2">
      <c r="E131" s="85">
        <v>127</v>
      </c>
      <c r="F131" s="82">
        <f t="shared" si="5"/>
        <v>17986.515754582571</v>
      </c>
      <c r="G131" s="82">
        <f t="shared" si="6"/>
        <v>12387.797777694495</v>
      </c>
      <c r="H131" s="82">
        <f t="shared" si="7"/>
        <v>5598.717976888076</v>
      </c>
      <c r="I131" s="87">
        <f t="shared" si="8"/>
        <v>2471960.8375620111</v>
      </c>
    </row>
    <row r="132" spans="5:9" ht="20.25" customHeight="1" x14ac:dyDescent="0.2">
      <c r="E132" s="85">
        <v>128</v>
      </c>
      <c r="F132" s="82">
        <f t="shared" si="5"/>
        <v>17986.515754582571</v>
      </c>
      <c r="G132" s="82">
        <f t="shared" si="6"/>
        <v>12359.804187810056</v>
      </c>
      <c r="H132" s="82">
        <f t="shared" si="7"/>
        <v>5626.7115667725157</v>
      </c>
      <c r="I132" s="87">
        <f t="shared" si="8"/>
        <v>2466334.1259952388</v>
      </c>
    </row>
    <row r="133" spans="5:9" ht="20.25" customHeight="1" x14ac:dyDescent="0.2">
      <c r="E133" s="85">
        <v>129</v>
      </c>
      <c r="F133" s="82">
        <f t="shared" ref="F133:F196" si="9">IF($C$7+$C$11&gt;I132,I132*(1+$C$4/12),$C$7+$C$11)</f>
        <v>17986.515754582571</v>
      </c>
      <c r="G133" s="82">
        <f t="shared" si="6"/>
        <v>12331.670629976194</v>
      </c>
      <c r="H133" s="82">
        <f t="shared" si="7"/>
        <v>5654.8451246063778</v>
      </c>
      <c r="I133" s="87">
        <f t="shared" si="8"/>
        <v>2460679.2808706323</v>
      </c>
    </row>
    <row r="134" spans="5:9" ht="20.25" customHeight="1" x14ac:dyDescent="0.2">
      <c r="E134" s="85">
        <v>130</v>
      </c>
      <c r="F134" s="82">
        <f t="shared" si="9"/>
        <v>17986.515754582571</v>
      </c>
      <c r="G134" s="82">
        <f t="shared" ref="G134:G197" si="10">I133*$C$4/12</f>
        <v>12303.396404353161</v>
      </c>
      <c r="H134" s="82">
        <f t="shared" ref="H134:H197" si="11">F134-G134</f>
        <v>5683.11935022941</v>
      </c>
      <c r="I134" s="87">
        <f t="shared" ref="I134:I197" si="12">IF(I133-$H134&lt;0,0,I133-$H134)</f>
        <v>2454996.1615204029</v>
      </c>
    </row>
    <row r="135" spans="5:9" ht="20.25" customHeight="1" x14ac:dyDescent="0.2">
      <c r="E135" s="85">
        <v>131</v>
      </c>
      <c r="F135" s="82">
        <f t="shared" si="9"/>
        <v>17986.515754582571</v>
      </c>
      <c r="G135" s="82">
        <f t="shared" si="10"/>
        <v>12274.980807602014</v>
      </c>
      <c r="H135" s="82">
        <f t="shared" si="11"/>
        <v>5711.5349469805569</v>
      </c>
      <c r="I135" s="87">
        <f t="shared" si="12"/>
        <v>2449284.6265734225</v>
      </c>
    </row>
    <row r="136" spans="5:9" ht="20.25" customHeight="1" x14ac:dyDescent="0.2">
      <c r="E136" s="160">
        <v>132</v>
      </c>
      <c r="F136" s="161">
        <f t="shared" si="9"/>
        <v>17986.515754582571</v>
      </c>
      <c r="G136" s="161">
        <f t="shared" si="10"/>
        <v>12246.42313286711</v>
      </c>
      <c r="H136" s="161">
        <f t="shared" si="11"/>
        <v>5740.0926217154611</v>
      </c>
      <c r="I136" s="162">
        <f t="shared" si="12"/>
        <v>2443544.5339517072</v>
      </c>
    </row>
    <row r="137" spans="5:9" ht="20.25" customHeight="1" x14ac:dyDescent="0.2">
      <c r="E137" s="85">
        <v>133</v>
      </c>
      <c r="F137" s="82">
        <f t="shared" si="9"/>
        <v>17986.515754582571</v>
      </c>
      <c r="G137" s="82">
        <f t="shared" si="10"/>
        <v>12217.722669758536</v>
      </c>
      <c r="H137" s="82">
        <f t="shared" si="11"/>
        <v>5768.7930848240358</v>
      </c>
      <c r="I137" s="87">
        <f t="shared" si="12"/>
        <v>2437775.7408668832</v>
      </c>
    </row>
    <row r="138" spans="5:9" ht="20.25" customHeight="1" x14ac:dyDescent="0.2">
      <c r="E138" s="85">
        <v>134</v>
      </c>
      <c r="F138" s="82">
        <f t="shared" si="9"/>
        <v>17986.515754582571</v>
      </c>
      <c r="G138" s="82">
        <f t="shared" si="10"/>
        <v>12188.878704334415</v>
      </c>
      <c r="H138" s="82">
        <f t="shared" si="11"/>
        <v>5797.6370502481568</v>
      </c>
      <c r="I138" s="87">
        <f t="shared" si="12"/>
        <v>2431978.103816635</v>
      </c>
    </row>
    <row r="139" spans="5:9" ht="20.25" customHeight="1" x14ac:dyDescent="0.2">
      <c r="E139" s="85">
        <v>135</v>
      </c>
      <c r="F139" s="82">
        <f t="shared" si="9"/>
        <v>17986.515754582571</v>
      </c>
      <c r="G139" s="82">
        <f t="shared" si="10"/>
        <v>12159.890519083174</v>
      </c>
      <c r="H139" s="82">
        <f t="shared" si="11"/>
        <v>5826.6252354993976</v>
      </c>
      <c r="I139" s="87">
        <f t="shared" si="12"/>
        <v>2426151.4785811356</v>
      </c>
    </row>
    <row r="140" spans="5:9" ht="20.25" customHeight="1" x14ac:dyDescent="0.2">
      <c r="E140" s="85">
        <v>136</v>
      </c>
      <c r="F140" s="82">
        <f t="shared" si="9"/>
        <v>17986.515754582571</v>
      </c>
      <c r="G140" s="82">
        <f t="shared" si="10"/>
        <v>12130.757392905676</v>
      </c>
      <c r="H140" s="82">
        <f t="shared" si="11"/>
        <v>5855.7583616768952</v>
      </c>
      <c r="I140" s="87">
        <f t="shared" si="12"/>
        <v>2420295.7202194589</v>
      </c>
    </row>
    <row r="141" spans="5:9" ht="20.25" customHeight="1" x14ac:dyDescent="0.2">
      <c r="E141" s="85">
        <v>137</v>
      </c>
      <c r="F141" s="82">
        <f t="shared" si="9"/>
        <v>17986.515754582571</v>
      </c>
      <c r="G141" s="82">
        <f t="shared" si="10"/>
        <v>12101.478601097295</v>
      </c>
      <c r="H141" s="82">
        <f t="shared" si="11"/>
        <v>5885.0371534852766</v>
      </c>
      <c r="I141" s="87">
        <f t="shared" si="12"/>
        <v>2414410.6830659737</v>
      </c>
    </row>
    <row r="142" spans="5:9" ht="20.25" customHeight="1" x14ac:dyDescent="0.2">
      <c r="E142" s="85">
        <v>138</v>
      </c>
      <c r="F142" s="82">
        <f t="shared" si="9"/>
        <v>17986.515754582571</v>
      </c>
      <c r="G142" s="82">
        <f t="shared" si="10"/>
        <v>12072.053415329867</v>
      </c>
      <c r="H142" s="82">
        <f t="shared" si="11"/>
        <v>5914.4623392527046</v>
      </c>
      <c r="I142" s="87">
        <f t="shared" si="12"/>
        <v>2408496.220726721</v>
      </c>
    </row>
    <row r="143" spans="5:9" ht="20.25" customHeight="1" x14ac:dyDescent="0.2">
      <c r="E143" s="85">
        <v>139</v>
      </c>
      <c r="F143" s="82">
        <f t="shared" si="9"/>
        <v>17986.515754582571</v>
      </c>
      <c r="G143" s="82">
        <f t="shared" si="10"/>
        <v>12042.481103633605</v>
      </c>
      <c r="H143" s="82">
        <f t="shared" si="11"/>
        <v>5944.0346509489664</v>
      </c>
      <c r="I143" s="87">
        <f t="shared" si="12"/>
        <v>2402552.1860757722</v>
      </c>
    </row>
    <row r="144" spans="5:9" ht="20.25" customHeight="1" x14ac:dyDescent="0.2">
      <c r="E144" s="85">
        <v>140</v>
      </c>
      <c r="F144" s="82">
        <f t="shared" si="9"/>
        <v>17986.515754582571</v>
      </c>
      <c r="G144" s="82">
        <f t="shared" si="10"/>
        <v>12012.760930378861</v>
      </c>
      <c r="H144" s="82">
        <f t="shared" si="11"/>
        <v>5973.7548242037101</v>
      </c>
      <c r="I144" s="87">
        <f t="shared" si="12"/>
        <v>2396578.4312515683</v>
      </c>
    </row>
    <row r="145" spans="5:9" ht="20.25" customHeight="1" x14ac:dyDescent="0.2">
      <c r="E145" s="85">
        <v>141</v>
      </c>
      <c r="F145" s="82">
        <f t="shared" si="9"/>
        <v>17986.515754582571</v>
      </c>
      <c r="G145" s="82">
        <f t="shared" si="10"/>
        <v>11982.89215625784</v>
      </c>
      <c r="H145" s="82">
        <f t="shared" si="11"/>
        <v>6003.6235983247316</v>
      </c>
      <c r="I145" s="87">
        <f t="shared" si="12"/>
        <v>2390574.8076532437</v>
      </c>
    </row>
    <row r="146" spans="5:9" ht="20.25" customHeight="1" x14ac:dyDescent="0.2">
      <c r="E146" s="85">
        <v>142</v>
      </c>
      <c r="F146" s="82">
        <f t="shared" si="9"/>
        <v>17986.515754582571</v>
      </c>
      <c r="G146" s="82">
        <f t="shared" si="10"/>
        <v>11952.874038266216</v>
      </c>
      <c r="H146" s="82">
        <f t="shared" si="11"/>
        <v>6033.6417163163551</v>
      </c>
      <c r="I146" s="87">
        <f t="shared" si="12"/>
        <v>2384541.1659369273</v>
      </c>
    </row>
    <row r="147" spans="5:9" ht="20.25" customHeight="1" x14ac:dyDescent="0.2">
      <c r="E147" s="85">
        <v>143</v>
      </c>
      <c r="F147" s="82">
        <f t="shared" si="9"/>
        <v>17986.515754582571</v>
      </c>
      <c r="G147" s="82">
        <f t="shared" si="10"/>
        <v>11922.705829684637</v>
      </c>
      <c r="H147" s="82">
        <f t="shared" si="11"/>
        <v>6063.8099248979343</v>
      </c>
      <c r="I147" s="87">
        <f t="shared" si="12"/>
        <v>2378477.3560120296</v>
      </c>
    </row>
    <row r="148" spans="5:9" ht="20.25" customHeight="1" x14ac:dyDescent="0.2">
      <c r="E148" s="160">
        <v>144</v>
      </c>
      <c r="F148" s="161">
        <f t="shared" si="9"/>
        <v>17986.515754582571</v>
      </c>
      <c r="G148" s="161">
        <f t="shared" si="10"/>
        <v>11892.386780060146</v>
      </c>
      <c r="H148" s="161">
        <f t="shared" si="11"/>
        <v>6094.1289745224258</v>
      </c>
      <c r="I148" s="162">
        <f t="shared" si="12"/>
        <v>2372383.2270375071</v>
      </c>
    </row>
    <row r="149" spans="5:9" ht="20.25" customHeight="1" x14ac:dyDescent="0.2">
      <c r="E149" s="85">
        <v>145</v>
      </c>
      <c r="F149" s="82">
        <f t="shared" si="9"/>
        <v>17986.515754582571</v>
      </c>
      <c r="G149" s="82">
        <f t="shared" si="10"/>
        <v>11861.916135187535</v>
      </c>
      <c r="H149" s="82">
        <f t="shared" si="11"/>
        <v>6124.5996193950359</v>
      </c>
      <c r="I149" s="87">
        <f t="shared" si="12"/>
        <v>2366258.627418112</v>
      </c>
    </row>
    <row r="150" spans="5:9" ht="20.25" customHeight="1" x14ac:dyDescent="0.2">
      <c r="E150" s="85">
        <v>146</v>
      </c>
      <c r="F150" s="82">
        <f t="shared" si="9"/>
        <v>17986.515754582571</v>
      </c>
      <c r="G150" s="82">
        <f t="shared" si="10"/>
        <v>11831.293137090559</v>
      </c>
      <c r="H150" s="82">
        <f t="shared" si="11"/>
        <v>6155.2226174920124</v>
      </c>
      <c r="I150" s="87">
        <f t="shared" si="12"/>
        <v>2360103.4048006199</v>
      </c>
    </row>
    <row r="151" spans="5:9" ht="20.25" customHeight="1" x14ac:dyDescent="0.2">
      <c r="E151" s="85">
        <v>147</v>
      </c>
      <c r="F151" s="82">
        <f t="shared" si="9"/>
        <v>17986.515754582571</v>
      </c>
      <c r="G151" s="82">
        <f t="shared" si="10"/>
        <v>11800.5170240031</v>
      </c>
      <c r="H151" s="82">
        <f t="shared" si="11"/>
        <v>6185.9987305794712</v>
      </c>
      <c r="I151" s="87">
        <f t="shared" si="12"/>
        <v>2353917.4060700405</v>
      </c>
    </row>
    <row r="152" spans="5:9" ht="20.25" customHeight="1" x14ac:dyDescent="0.2">
      <c r="E152" s="85">
        <v>148</v>
      </c>
      <c r="F152" s="82">
        <f t="shared" si="9"/>
        <v>17986.515754582571</v>
      </c>
      <c r="G152" s="82">
        <f t="shared" si="10"/>
        <v>11769.587030350202</v>
      </c>
      <c r="H152" s="82">
        <f t="shared" si="11"/>
        <v>6216.9287242323699</v>
      </c>
      <c r="I152" s="87">
        <f t="shared" si="12"/>
        <v>2347700.4773458079</v>
      </c>
    </row>
    <row r="153" spans="5:9" ht="20.25" customHeight="1" x14ac:dyDescent="0.2">
      <c r="E153" s="85">
        <v>149</v>
      </c>
      <c r="F153" s="82">
        <f t="shared" si="9"/>
        <v>17986.515754582571</v>
      </c>
      <c r="G153" s="82">
        <f t="shared" si="10"/>
        <v>11738.502386729038</v>
      </c>
      <c r="H153" s="82">
        <f t="shared" si="11"/>
        <v>6248.0133678535331</v>
      </c>
      <c r="I153" s="87">
        <f t="shared" si="12"/>
        <v>2341452.4639779544</v>
      </c>
    </row>
    <row r="154" spans="5:9" ht="20.25" customHeight="1" x14ac:dyDescent="0.2">
      <c r="E154" s="85">
        <v>150</v>
      </c>
      <c r="F154" s="82">
        <f t="shared" si="9"/>
        <v>17986.515754582571</v>
      </c>
      <c r="G154" s="82">
        <f t="shared" si="10"/>
        <v>11707.262319889771</v>
      </c>
      <c r="H154" s="82">
        <f t="shared" si="11"/>
        <v>6279.2534346928005</v>
      </c>
      <c r="I154" s="87">
        <f t="shared" si="12"/>
        <v>2335173.2105432614</v>
      </c>
    </row>
    <row r="155" spans="5:9" ht="20.25" customHeight="1" x14ac:dyDescent="0.2">
      <c r="E155" s="85">
        <v>151</v>
      </c>
      <c r="F155" s="82">
        <f t="shared" si="9"/>
        <v>17986.515754582571</v>
      </c>
      <c r="G155" s="82">
        <f t="shared" si="10"/>
        <v>11675.866052716307</v>
      </c>
      <c r="H155" s="82">
        <f t="shared" si="11"/>
        <v>6310.6497018662649</v>
      </c>
      <c r="I155" s="87">
        <f t="shared" si="12"/>
        <v>2328862.5608413951</v>
      </c>
    </row>
    <row r="156" spans="5:9" ht="20.25" customHeight="1" x14ac:dyDescent="0.2">
      <c r="E156" s="85">
        <v>152</v>
      </c>
      <c r="F156" s="82">
        <f t="shared" si="9"/>
        <v>17986.515754582571</v>
      </c>
      <c r="G156" s="82">
        <f t="shared" si="10"/>
        <v>11644.312804206975</v>
      </c>
      <c r="H156" s="82">
        <f t="shared" si="11"/>
        <v>6342.2029503755966</v>
      </c>
      <c r="I156" s="87">
        <f t="shared" si="12"/>
        <v>2322520.3578910194</v>
      </c>
    </row>
    <row r="157" spans="5:9" ht="20.25" customHeight="1" x14ac:dyDescent="0.2">
      <c r="E157" s="85">
        <v>153</v>
      </c>
      <c r="F157" s="82">
        <f t="shared" si="9"/>
        <v>17986.515754582571</v>
      </c>
      <c r="G157" s="82">
        <f t="shared" si="10"/>
        <v>11612.601789455097</v>
      </c>
      <c r="H157" s="82">
        <f t="shared" si="11"/>
        <v>6373.9139651274745</v>
      </c>
      <c r="I157" s="87">
        <f t="shared" si="12"/>
        <v>2316146.443925892</v>
      </c>
    </row>
    <row r="158" spans="5:9" ht="20.25" customHeight="1" x14ac:dyDescent="0.2">
      <c r="E158" s="85">
        <v>154</v>
      </c>
      <c r="F158" s="82">
        <f t="shared" si="9"/>
        <v>17986.515754582571</v>
      </c>
      <c r="G158" s="82">
        <f t="shared" si="10"/>
        <v>11580.732219629461</v>
      </c>
      <c r="H158" s="82">
        <f t="shared" si="11"/>
        <v>6405.7835349531106</v>
      </c>
      <c r="I158" s="87">
        <f t="shared" si="12"/>
        <v>2309740.6603909391</v>
      </c>
    </row>
    <row r="159" spans="5:9" ht="20.25" customHeight="1" x14ac:dyDescent="0.2">
      <c r="E159" s="85">
        <v>155</v>
      </c>
      <c r="F159" s="82">
        <f t="shared" si="9"/>
        <v>17986.515754582571</v>
      </c>
      <c r="G159" s="82">
        <f t="shared" si="10"/>
        <v>11548.703301954694</v>
      </c>
      <c r="H159" s="82">
        <f t="shared" si="11"/>
        <v>6437.8124526278771</v>
      </c>
      <c r="I159" s="87">
        <f t="shared" si="12"/>
        <v>2303302.8479383113</v>
      </c>
    </row>
    <row r="160" spans="5:9" ht="20.25" customHeight="1" x14ac:dyDescent="0.2">
      <c r="E160" s="160">
        <v>156</v>
      </c>
      <c r="F160" s="161">
        <f t="shared" si="9"/>
        <v>17986.515754582571</v>
      </c>
      <c r="G160" s="161">
        <f t="shared" si="10"/>
        <v>11516.514239691556</v>
      </c>
      <c r="H160" s="161">
        <f t="shared" si="11"/>
        <v>6470.0015148910152</v>
      </c>
      <c r="I160" s="162">
        <f t="shared" si="12"/>
        <v>2296832.8464234201</v>
      </c>
    </row>
    <row r="161" spans="5:9" ht="20.25" customHeight="1" x14ac:dyDescent="0.2">
      <c r="E161" s="85">
        <v>157</v>
      </c>
      <c r="F161" s="82">
        <f t="shared" si="9"/>
        <v>17986.515754582571</v>
      </c>
      <c r="G161" s="82">
        <f t="shared" si="10"/>
        <v>11484.1642321171</v>
      </c>
      <c r="H161" s="82">
        <f t="shared" si="11"/>
        <v>6502.3515224654711</v>
      </c>
      <c r="I161" s="87">
        <f t="shared" si="12"/>
        <v>2290330.4949009544</v>
      </c>
    </row>
    <row r="162" spans="5:9" ht="20.25" customHeight="1" x14ac:dyDescent="0.2">
      <c r="E162" s="85">
        <v>158</v>
      </c>
      <c r="F162" s="82">
        <f t="shared" si="9"/>
        <v>17986.515754582571</v>
      </c>
      <c r="G162" s="82">
        <f t="shared" si="10"/>
        <v>11451.652474504772</v>
      </c>
      <c r="H162" s="82">
        <f t="shared" si="11"/>
        <v>6534.8632800777996</v>
      </c>
      <c r="I162" s="87">
        <f t="shared" si="12"/>
        <v>2283795.6316208765</v>
      </c>
    </row>
    <row r="163" spans="5:9" ht="20.25" customHeight="1" x14ac:dyDescent="0.2">
      <c r="E163" s="85">
        <v>159</v>
      </c>
      <c r="F163" s="82">
        <f t="shared" si="9"/>
        <v>17986.515754582571</v>
      </c>
      <c r="G163" s="82">
        <f t="shared" si="10"/>
        <v>11418.978158104381</v>
      </c>
      <c r="H163" s="82">
        <f t="shared" si="11"/>
        <v>6567.5375964781906</v>
      </c>
      <c r="I163" s="87">
        <f t="shared" si="12"/>
        <v>2277228.0940243984</v>
      </c>
    </row>
    <row r="164" spans="5:9" ht="20.25" customHeight="1" x14ac:dyDescent="0.2">
      <c r="E164" s="85">
        <v>160</v>
      </c>
      <c r="F164" s="82">
        <f t="shared" si="9"/>
        <v>17986.515754582571</v>
      </c>
      <c r="G164" s="82">
        <f t="shared" si="10"/>
        <v>11386.140470121993</v>
      </c>
      <c r="H164" s="82">
        <f t="shared" si="11"/>
        <v>6600.3752844605788</v>
      </c>
      <c r="I164" s="87">
        <f t="shared" si="12"/>
        <v>2270627.718739938</v>
      </c>
    </row>
    <row r="165" spans="5:9" ht="20.25" customHeight="1" x14ac:dyDescent="0.2">
      <c r="E165" s="85">
        <v>161</v>
      </c>
      <c r="F165" s="82">
        <f t="shared" si="9"/>
        <v>17986.515754582571</v>
      </c>
      <c r="G165" s="82">
        <f t="shared" si="10"/>
        <v>11353.138593699688</v>
      </c>
      <c r="H165" s="82">
        <f t="shared" si="11"/>
        <v>6633.3771608828829</v>
      </c>
      <c r="I165" s="87">
        <f t="shared" si="12"/>
        <v>2263994.3415790549</v>
      </c>
    </row>
    <row r="166" spans="5:9" ht="20.25" customHeight="1" x14ac:dyDescent="0.2">
      <c r="E166" s="85">
        <v>162</v>
      </c>
      <c r="F166" s="82">
        <f t="shared" si="9"/>
        <v>17986.515754582571</v>
      </c>
      <c r="G166" s="82">
        <f t="shared" si="10"/>
        <v>11319.971707895274</v>
      </c>
      <c r="H166" s="82">
        <f t="shared" si="11"/>
        <v>6666.5440466872969</v>
      </c>
      <c r="I166" s="87">
        <f t="shared" si="12"/>
        <v>2257327.7975323675</v>
      </c>
    </row>
    <row r="167" spans="5:9" ht="20.25" customHeight="1" x14ac:dyDescent="0.2">
      <c r="E167" s="85">
        <v>163</v>
      </c>
      <c r="F167" s="82">
        <f t="shared" si="9"/>
        <v>17986.515754582571</v>
      </c>
      <c r="G167" s="82">
        <f t="shared" si="10"/>
        <v>11286.638987661836</v>
      </c>
      <c r="H167" s="82">
        <f t="shared" si="11"/>
        <v>6699.8767669207355</v>
      </c>
      <c r="I167" s="87">
        <f t="shared" si="12"/>
        <v>2250627.920765447</v>
      </c>
    </row>
    <row r="168" spans="5:9" ht="20.25" customHeight="1" x14ac:dyDescent="0.2">
      <c r="E168" s="85">
        <v>164</v>
      </c>
      <c r="F168" s="82">
        <f t="shared" si="9"/>
        <v>17986.515754582571</v>
      </c>
      <c r="G168" s="82">
        <f t="shared" si="10"/>
        <v>11253.139603827234</v>
      </c>
      <c r="H168" s="82">
        <f t="shared" si="11"/>
        <v>6733.3761507553372</v>
      </c>
      <c r="I168" s="87">
        <f t="shared" si="12"/>
        <v>2243894.5446146918</v>
      </c>
    </row>
    <row r="169" spans="5:9" ht="20.25" customHeight="1" x14ac:dyDescent="0.2">
      <c r="E169" s="85">
        <v>165</v>
      </c>
      <c r="F169" s="82">
        <f t="shared" si="9"/>
        <v>17986.515754582571</v>
      </c>
      <c r="G169" s="82">
        <f t="shared" si="10"/>
        <v>11219.472723073459</v>
      </c>
      <c r="H169" s="82">
        <f t="shared" si="11"/>
        <v>6767.0430315091126</v>
      </c>
      <c r="I169" s="87">
        <f t="shared" si="12"/>
        <v>2237127.5015831827</v>
      </c>
    </row>
    <row r="170" spans="5:9" ht="20.25" customHeight="1" x14ac:dyDescent="0.2">
      <c r="E170" s="85">
        <v>166</v>
      </c>
      <c r="F170" s="82">
        <f t="shared" si="9"/>
        <v>17986.515754582571</v>
      </c>
      <c r="G170" s="82">
        <f t="shared" si="10"/>
        <v>11185.637507915913</v>
      </c>
      <c r="H170" s="82">
        <f t="shared" si="11"/>
        <v>6800.878246666658</v>
      </c>
      <c r="I170" s="87">
        <f t="shared" si="12"/>
        <v>2230326.6233365159</v>
      </c>
    </row>
    <row r="171" spans="5:9" ht="20.25" customHeight="1" x14ac:dyDescent="0.2">
      <c r="E171" s="85">
        <v>167</v>
      </c>
      <c r="F171" s="82">
        <f t="shared" si="9"/>
        <v>17986.515754582571</v>
      </c>
      <c r="G171" s="82">
        <f t="shared" si="10"/>
        <v>11151.633116682578</v>
      </c>
      <c r="H171" s="82">
        <f t="shared" si="11"/>
        <v>6834.8826378999929</v>
      </c>
      <c r="I171" s="87">
        <f t="shared" si="12"/>
        <v>2223491.740698616</v>
      </c>
    </row>
    <row r="172" spans="5:9" ht="20.25" customHeight="1" x14ac:dyDescent="0.2">
      <c r="E172" s="160">
        <v>168</v>
      </c>
      <c r="F172" s="161">
        <f t="shared" si="9"/>
        <v>17986.515754582571</v>
      </c>
      <c r="G172" s="161">
        <f t="shared" si="10"/>
        <v>11117.458703493079</v>
      </c>
      <c r="H172" s="161">
        <f t="shared" si="11"/>
        <v>6869.0570510894922</v>
      </c>
      <c r="I172" s="162">
        <f t="shared" si="12"/>
        <v>2216622.6836475264</v>
      </c>
    </row>
    <row r="173" spans="5:9" ht="20.25" customHeight="1" x14ac:dyDescent="0.2">
      <c r="E173" s="85">
        <v>169</v>
      </c>
      <c r="F173" s="82">
        <f t="shared" si="9"/>
        <v>17986.515754582571</v>
      </c>
      <c r="G173" s="82">
        <f t="shared" si="10"/>
        <v>11083.113418237632</v>
      </c>
      <c r="H173" s="82">
        <f t="shared" si="11"/>
        <v>6903.4023363449396</v>
      </c>
      <c r="I173" s="87">
        <f t="shared" si="12"/>
        <v>2209719.2813111814</v>
      </c>
    </row>
    <row r="174" spans="5:9" ht="20.25" customHeight="1" x14ac:dyDescent="0.2">
      <c r="E174" s="85">
        <v>170</v>
      </c>
      <c r="F174" s="82">
        <f t="shared" si="9"/>
        <v>17986.515754582571</v>
      </c>
      <c r="G174" s="82">
        <f t="shared" si="10"/>
        <v>11048.596406555907</v>
      </c>
      <c r="H174" s="82">
        <f t="shared" si="11"/>
        <v>6937.919348026664</v>
      </c>
      <c r="I174" s="87">
        <f t="shared" si="12"/>
        <v>2202781.3619631547</v>
      </c>
    </row>
    <row r="175" spans="5:9" ht="20.25" customHeight="1" x14ac:dyDescent="0.2">
      <c r="E175" s="85">
        <v>171</v>
      </c>
      <c r="F175" s="82">
        <f t="shared" si="9"/>
        <v>17986.515754582571</v>
      </c>
      <c r="G175" s="82">
        <f t="shared" si="10"/>
        <v>11013.906809815773</v>
      </c>
      <c r="H175" s="82">
        <f t="shared" si="11"/>
        <v>6972.6089447667982</v>
      </c>
      <c r="I175" s="87">
        <f t="shared" si="12"/>
        <v>2195808.7530183881</v>
      </c>
    </row>
    <row r="176" spans="5:9" ht="20.25" customHeight="1" x14ac:dyDescent="0.2">
      <c r="E176" s="85">
        <v>172</v>
      </c>
      <c r="F176" s="82">
        <f t="shared" si="9"/>
        <v>17986.515754582571</v>
      </c>
      <c r="G176" s="82">
        <f t="shared" si="10"/>
        <v>10979.043765091939</v>
      </c>
      <c r="H176" s="82">
        <f t="shared" si="11"/>
        <v>7007.471989490632</v>
      </c>
      <c r="I176" s="87">
        <f t="shared" si="12"/>
        <v>2188801.2810288975</v>
      </c>
    </row>
    <row r="177" spans="5:9" ht="20.25" customHeight="1" x14ac:dyDescent="0.2">
      <c r="E177" s="85">
        <v>173</v>
      </c>
      <c r="F177" s="82">
        <f t="shared" si="9"/>
        <v>17986.515754582571</v>
      </c>
      <c r="G177" s="82">
        <f t="shared" si="10"/>
        <v>10944.006405144486</v>
      </c>
      <c r="H177" s="82">
        <f t="shared" si="11"/>
        <v>7042.5093494380853</v>
      </c>
      <c r="I177" s="87">
        <f t="shared" si="12"/>
        <v>2181758.7716794596</v>
      </c>
    </row>
    <row r="178" spans="5:9" ht="20.25" customHeight="1" x14ac:dyDescent="0.2">
      <c r="E178" s="85">
        <v>174</v>
      </c>
      <c r="F178" s="82">
        <f t="shared" si="9"/>
        <v>17986.515754582571</v>
      </c>
      <c r="G178" s="82">
        <f t="shared" si="10"/>
        <v>10908.793858397297</v>
      </c>
      <c r="H178" s="82">
        <f t="shared" si="11"/>
        <v>7077.7218961852741</v>
      </c>
      <c r="I178" s="87">
        <f t="shared" si="12"/>
        <v>2174681.0497832745</v>
      </c>
    </row>
    <row r="179" spans="5:9" ht="20.25" customHeight="1" x14ac:dyDescent="0.2">
      <c r="E179" s="85">
        <v>175</v>
      </c>
      <c r="F179" s="82">
        <f t="shared" si="9"/>
        <v>17986.515754582571</v>
      </c>
      <c r="G179" s="82">
        <f t="shared" si="10"/>
        <v>10873.405248916371</v>
      </c>
      <c r="H179" s="82">
        <f t="shared" si="11"/>
        <v>7113.1105056662</v>
      </c>
      <c r="I179" s="87">
        <f t="shared" si="12"/>
        <v>2167567.9392776084</v>
      </c>
    </row>
    <row r="180" spans="5:9" ht="20.25" customHeight="1" x14ac:dyDescent="0.2">
      <c r="E180" s="85">
        <v>176</v>
      </c>
      <c r="F180" s="82">
        <f t="shared" si="9"/>
        <v>17986.515754582571</v>
      </c>
      <c r="G180" s="82">
        <f t="shared" si="10"/>
        <v>10837.839696388042</v>
      </c>
      <c r="H180" s="82">
        <f t="shared" si="11"/>
        <v>7148.6760581945291</v>
      </c>
      <c r="I180" s="87">
        <f t="shared" si="12"/>
        <v>2160419.2632194138</v>
      </c>
    </row>
    <row r="181" spans="5:9" ht="20.25" customHeight="1" x14ac:dyDescent="0.2">
      <c r="E181" s="85">
        <v>177</v>
      </c>
      <c r="F181" s="82">
        <f t="shared" si="9"/>
        <v>17986.515754582571</v>
      </c>
      <c r="G181" s="82">
        <f t="shared" si="10"/>
        <v>10802.09631609707</v>
      </c>
      <c r="H181" s="82">
        <f t="shared" si="11"/>
        <v>7184.4194384855018</v>
      </c>
      <c r="I181" s="87">
        <f t="shared" si="12"/>
        <v>2153234.8437809283</v>
      </c>
    </row>
    <row r="182" spans="5:9" ht="20.25" customHeight="1" x14ac:dyDescent="0.2">
      <c r="E182" s="85">
        <v>178</v>
      </c>
      <c r="F182" s="82">
        <f t="shared" si="9"/>
        <v>17986.515754582571</v>
      </c>
      <c r="G182" s="82">
        <f t="shared" si="10"/>
        <v>10766.17421890464</v>
      </c>
      <c r="H182" s="82">
        <f t="shared" si="11"/>
        <v>7220.3415356779315</v>
      </c>
      <c r="I182" s="87">
        <f t="shared" si="12"/>
        <v>2146014.5022452502</v>
      </c>
    </row>
    <row r="183" spans="5:9" ht="20.25" customHeight="1" x14ac:dyDescent="0.2">
      <c r="E183" s="85">
        <v>179</v>
      </c>
      <c r="F183" s="82">
        <f t="shared" si="9"/>
        <v>17986.515754582571</v>
      </c>
      <c r="G183" s="82">
        <f t="shared" si="10"/>
        <v>10730.07251122625</v>
      </c>
      <c r="H183" s="82">
        <f t="shared" si="11"/>
        <v>7256.4432433563215</v>
      </c>
      <c r="I183" s="87">
        <f t="shared" si="12"/>
        <v>2138758.0590018937</v>
      </c>
    </row>
    <row r="184" spans="5:9" ht="20.25" customHeight="1" x14ac:dyDescent="0.2">
      <c r="E184" s="160">
        <v>180</v>
      </c>
      <c r="F184" s="161">
        <f t="shared" si="9"/>
        <v>17986.515754582571</v>
      </c>
      <c r="G184" s="161">
        <f t="shared" si="10"/>
        <v>10693.790295009469</v>
      </c>
      <c r="H184" s="161">
        <f t="shared" si="11"/>
        <v>7292.7254595731029</v>
      </c>
      <c r="I184" s="162">
        <f t="shared" si="12"/>
        <v>2131465.3335423204</v>
      </c>
    </row>
    <row r="185" spans="5:9" ht="20.25" customHeight="1" x14ac:dyDescent="0.2">
      <c r="E185" s="85">
        <v>181</v>
      </c>
      <c r="F185" s="82">
        <f t="shared" si="9"/>
        <v>17986.515754582571</v>
      </c>
      <c r="G185" s="82">
        <f t="shared" si="10"/>
        <v>10657.326667711603</v>
      </c>
      <c r="H185" s="82">
        <f t="shared" si="11"/>
        <v>7329.1890868709688</v>
      </c>
      <c r="I185" s="87">
        <f t="shared" si="12"/>
        <v>2124136.1444554497</v>
      </c>
    </row>
    <row r="186" spans="5:9" ht="20.25" customHeight="1" x14ac:dyDescent="0.2">
      <c r="E186" s="85">
        <v>182</v>
      </c>
      <c r="F186" s="82">
        <f t="shared" si="9"/>
        <v>17986.515754582571</v>
      </c>
      <c r="G186" s="82">
        <f t="shared" si="10"/>
        <v>10620.680722277248</v>
      </c>
      <c r="H186" s="82">
        <f t="shared" si="11"/>
        <v>7365.8350323053237</v>
      </c>
      <c r="I186" s="87">
        <f t="shared" si="12"/>
        <v>2116770.3094231444</v>
      </c>
    </row>
    <row r="187" spans="5:9" ht="20.25" customHeight="1" x14ac:dyDescent="0.2">
      <c r="E187" s="85">
        <v>183</v>
      </c>
      <c r="F187" s="82">
        <f t="shared" si="9"/>
        <v>17986.515754582571</v>
      </c>
      <c r="G187" s="82">
        <f t="shared" si="10"/>
        <v>10583.851547115721</v>
      </c>
      <c r="H187" s="82">
        <f t="shared" si="11"/>
        <v>7402.6642074668507</v>
      </c>
      <c r="I187" s="87">
        <f t="shared" si="12"/>
        <v>2109367.6452156776</v>
      </c>
    </row>
    <row r="188" spans="5:9" ht="20.25" customHeight="1" x14ac:dyDescent="0.2">
      <c r="E188" s="85">
        <v>184</v>
      </c>
      <c r="F188" s="82">
        <f t="shared" si="9"/>
        <v>17986.515754582571</v>
      </c>
      <c r="G188" s="82">
        <f t="shared" si="10"/>
        <v>10546.838226078387</v>
      </c>
      <c r="H188" s="82">
        <f t="shared" si="11"/>
        <v>7439.677528504184</v>
      </c>
      <c r="I188" s="87">
        <f t="shared" si="12"/>
        <v>2101927.9676871733</v>
      </c>
    </row>
    <row r="189" spans="5:9" ht="20.25" customHeight="1" x14ac:dyDescent="0.2">
      <c r="E189" s="85">
        <v>185</v>
      </c>
      <c r="F189" s="82">
        <f t="shared" si="9"/>
        <v>17986.515754582571</v>
      </c>
      <c r="G189" s="82">
        <f t="shared" si="10"/>
        <v>10509.639838435867</v>
      </c>
      <c r="H189" s="82">
        <f t="shared" si="11"/>
        <v>7476.8759161467042</v>
      </c>
      <c r="I189" s="87">
        <f t="shared" si="12"/>
        <v>2094451.0917710266</v>
      </c>
    </row>
    <row r="190" spans="5:9" ht="20.25" customHeight="1" x14ac:dyDescent="0.2">
      <c r="E190" s="85">
        <v>186</v>
      </c>
      <c r="F190" s="82">
        <f t="shared" si="9"/>
        <v>17986.515754582571</v>
      </c>
      <c r="G190" s="82">
        <f t="shared" si="10"/>
        <v>10472.255458855134</v>
      </c>
      <c r="H190" s="82">
        <f t="shared" si="11"/>
        <v>7514.2602957274376</v>
      </c>
      <c r="I190" s="87">
        <f t="shared" si="12"/>
        <v>2086936.8314752991</v>
      </c>
    </row>
    <row r="191" spans="5:9" ht="20.25" customHeight="1" x14ac:dyDescent="0.2">
      <c r="E191" s="85">
        <v>187</v>
      </c>
      <c r="F191" s="82">
        <f t="shared" si="9"/>
        <v>17986.515754582571</v>
      </c>
      <c r="G191" s="82">
        <f t="shared" si="10"/>
        <v>10434.684157376496</v>
      </c>
      <c r="H191" s="82">
        <f t="shared" si="11"/>
        <v>7551.8315972060755</v>
      </c>
      <c r="I191" s="87">
        <f t="shared" si="12"/>
        <v>2079384.9998780929</v>
      </c>
    </row>
    <row r="192" spans="5:9" ht="20.25" customHeight="1" x14ac:dyDescent="0.2">
      <c r="E192" s="85">
        <v>188</v>
      </c>
      <c r="F192" s="82">
        <f t="shared" si="9"/>
        <v>17986.515754582571</v>
      </c>
      <c r="G192" s="82">
        <f t="shared" si="10"/>
        <v>10396.924999390465</v>
      </c>
      <c r="H192" s="82">
        <f t="shared" si="11"/>
        <v>7589.5907551921064</v>
      </c>
      <c r="I192" s="87">
        <f t="shared" si="12"/>
        <v>2071795.4091229008</v>
      </c>
    </row>
    <row r="193" spans="5:9" ht="20.25" customHeight="1" x14ac:dyDescent="0.2">
      <c r="E193" s="85">
        <v>189</v>
      </c>
      <c r="F193" s="82">
        <f t="shared" si="9"/>
        <v>17986.515754582571</v>
      </c>
      <c r="G193" s="82">
        <f t="shared" si="10"/>
        <v>10358.977045614503</v>
      </c>
      <c r="H193" s="82">
        <f t="shared" si="11"/>
        <v>7627.538708968068</v>
      </c>
      <c r="I193" s="87">
        <f t="shared" si="12"/>
        <v>2064167.8704139327</v>
      </c>
    </row>
    <row r="194" spans="5:9" ht="20.25" customHeight="1" x14ac:dyDescent="0.2">
      <c r="E194" s="85">
        <v>190</v>
      </c>
      <c r="F194" s="82">
        <f t="shared" si="9"/>
        <v>17986.515754582571</v>
      </c>
      <c r="G194" s="82">
        <f t="shared" si="10"/>
        <v>10320.839352069663</v>
      </c>
      <c r="H194" s="82">
        <f t="shared" si="11"/>
        <v>7665.6764025129087</v>
      </c>
      <c r="I194" s="87">
        <f t="shared" si="12"/>
        <v>2056502.1940114198</v>
      </c>
    </row>
    <row r="195" spans="5:9" ht="20.25" customHeight="1" x14ac:dyDescent="0.2">
      <c r="E195" s="85">
        <v>191</v>
      </c>
      <c r="F195" s="82">
        <f t="shared" si="9"/>
        <v>17986.515754582571</v>
      </c>
      <c r="G195" s="82">
        <f t="shared" si="10"/>
        <v>10282.510970057099</v>
      </c>
      <c r="H195" s="82">
        <f t="shared" si="11"/>
        <v>7704.0047845254721</v>
      </c>
      <c r="I195" s="87">
        <f t="shared" si="12"/>
        <v>2048798.1892268944</v>
      </c>
    </row>
    <row r="196" spans="5:9" ht="20.25" customHeight="1" x14ac:dyDescent="0.2">
      <c r="E196" s="160">
        <v>192</v>
      </c>
      <c r="F196" s="161">
        <f t="shared" si="9"/>
        <v>17986.515754582571</v>
      </c>
      <c r="G196" s="161">
        <f t="shared" si="10"/>
        <v>10243.990946134471</v>
      </c>
      <c r="H196" s="161">
        <f t="shared" si="11"/>
        <v>7742.5248084481009</v>
      </c>
      <c r="I196" s="162">
        <f t="shared" si="12"/>
        <v>2041055.6644184464</v>
      </c>
    </row>
    <row r="197" spans="5:9" ht="20.25" customHeight="1" x14ac:dyDescent="0.2">
      <c r="E197" s="85">
        <v>193</v>
      </c>
      <c r="F197" s="82">
        <f t="shared" ref="F197:F260" si="13">IF($C$7+$C$11&gt;I196,I196*(1+$C$4/12),$C$7+$C$11)</f>
        <v>17986.515754582571</v>
      </c>
      <c r="G197" s="82">
        <f t="shared" si="10"/>
        <v>10205.278322092232</v>
      </c>
      <c r="H197" s="82">
        <f t="shared" si="11"/>
        <v>7781.2374324903394</v>
      </c>
      <c r="I197" s="87">
        <f t="shared" si="12"/>
        <v>2033274.426985956</v>
      </c>
    </row>
    <row r="198" spans="5:9" ht="20.25" customHeight="1" x14ac:dyDescent="0.2">
      <c r="E198" s="85">
        <v>194</v>
      </c>
      <c r="F198" s="82">
        <f t="shared" si="13"/>
        <v>17986.515754582571</v>
      </c>
      <c r="G198" s="82">
        <f t="shared" ref="G198:G261" si="14">I197*$C$4/12</f>
        <v>10166.372134929779</v>
      </c>
      <c r="H198" s="82">
        <f t="shared" ref="H198:H261" si="15">F198-G198</f>
        <v>7820.143619652792</v>
      </c>
      <c r="I198" s="87">
        <f t="shared" ref="I198:I261" si="16">IF(I197-$H198&lt;0,0,I197-$H198)</f>
        <v>2025454.2833663032</v>
      </c>
    </row>
    <row r="199" spans="5:9" ht="20.25" customHeight="1" x14ac:dyDescent="0.2">
      <c r="E199" s="85">
        <v>195</v>
      </c>
      <c r="F199" s="82">
        <f t="shared" si="13"/>
        <v>17986.515754582571</v>
      </c>
      <c r="G199" s="82">
        <f t="shared" si="14"/>
        <v>10127.271416831516</v>
      </c>
      <c r="H199" s="82">
        <f t="shared" si="15"/>
        <v>7859.2443377510554</v>
      </c>
      <c r="I199" s="87">
        <f t="shared" si="16"/>
        <v>2017595.0390285521</v>
      </c>
    </row>
    <row r="200" spans="5:9" ht="20.25" customHeight="1" x14ac:dyDescent="0.2">
      <c r="E200" s="85">
        <v>196</v>
      </c>
      <c r="F200" s="82">
        <f t="shared" si="13"/>
        <v>17986.515754582571</v>
      </c>
      <c r="G200" s="82">
        <f t="shared" si="14"/>
        <v>10087.975195142761</v>
      </c>
      <c r="H200" s="82">
        <f t="shared" si="15"/>
        <v>7898.5405594398107</v>
      </c>
      <c r="I200" s="87">
        <f t="shared" si="16"/>
        <v>2009696.4984691122</v>
      </c>
    </row>
    <row r="201" spans="5:9" ht="20.25" customHeight="1" x14ac:dyDescent="0.2">
      <c r="E201" s="85">
        <v>197</v>
      </c>
      <c r="F201" s="82">
        <f t="shared" si="13"/>
        <v>17986.515754582571</v>
      </c>
      <c r="G201" s="82">
        <f t="shared" si="14"/>
        <v>10048.482492345562</v>
      </c>
      <c r="H201" s="82">
        <f t="shared" si="15"/>
        <v>7938.0332622370097</v>
      </c>
      <c r="I201" s="87">
        <f t="shared" si="16"/>
        <v>2001758.4652068752</v>
      </c>
    </row>
    <row r="202" spans="5:9" ht="20.25" customHeight="1" x14ac:dyDescent="0.2">
      <c r="E202" s="85">
        <v>198</v>
      </c>
      <c r="F202" s="82">
        <f t="shared" si="13"/>
        <v>17986.515754582571</v>
      </c>
      <c r="G202" s="82">
        <f t="shared" si="14"/>
        <v>10008.792326034376</v>
      </c>
      <c r="H202" s="82">
        <f t="shared" si="15"/>
        <v>7977.7234285481954</v>
      </c>
      <c r="I202" s="87">
        <f t="shared" si="16"/>
        <v>1993780.7417783272</v>
      </c>
    </row>
    <row r="203" spans="5:9" ht="20.25" customHeight="1" x14ac:dyDescent="0.2">
      <c r="E203" s="85">
        <v>199</v>
      </c>
      <c r="F203" s="82">
        <f t="shared" si="13"/>
        <v>17986.515754582571</v>
      </c>
      <c r="G203" s="82">
        <f t="shared" si="14"/>
        <v>9968.9037088916357</v>
      </c>
      <c r="H203" s="82">
        <f t="shared" si="15"/>
        <v>8017.6120456909357</v>
      </c>
      <c r="I203" s="87">
        <f t="shared" si="16"/>
        <v>1985763.1297326363</v>
      </c>
    </row>
    <row r="204" spans="5:9" ht="20.25" customHeight="1" x14ac:dyDescent="0.2">
      <c r="E204" s="85">
        <v>200</v>
      </c>
      <c r="F204" s="82">
        <f t="shared" si="13"/>
        <v>17986.515754582571</v>
      </c>
      <c r="G204" s="82">
        <f t="shared" si="14"/>
        <v>9928.8156486631815</v>
      </c>
      <c r="H204" s="82">
        <f t="shared" si="15"/>
        <v>8057.7001059193899</v>
      </c>
      <c r="I204" s="87">
        <f t="shared" si="16"/>
        <v>1977705.4296267168</v>
      </c>
    </row>
    <row r="205" spans="5:9" ht="20.25" customHeight="1" x14ac:dyDescent="0.2">
      <c r="E205" s="85">
        <v>201</v>
      </c>
      <c r="F205" s="82">
        <f t="shared" si="13"/>
        <v>17986.515754582571</v>
      </c>
      <c r="G205" s="82">
        <f t="shared" si="14"/>
        <v>9888.527148133584</v>
      </c>
      <c r="H205" s="82">
        <f t="shared" si="15"/>
        <v>8097.9886064489874</v>
      </c>
      <c r="I205" s="87">
        <f t="shared" si="16"/>
        <v>1969607.4410202678</v>
      </c>
    </row>
    <row r="206" spans="5:9" ht="20.25" customHeight="1" x14ac:dyDescent="0.2">
      <c r="E206" s="85">
        <v>202</v>
      </c>
      <c r="F206" s="82">
        <f t="shared" si="13"/>
        <v>17986.515754582571</v>
      </c>
      <c r="G206" s="82">
        <f t="shared" si="14"/>
        <v>9848.0372051013383</v>
      </c>
      <c r="H206" s="82">
        <f t="shared" si="15"/>
        <v>8138.4785494812331</v>
      </c>
      <c r="I206" s="87">
        <f t="shared" si="16"/>
        <v>1961468.9624707866</v>
      </c>
    </row>
    <row r="207" spans="5:9" ht="20.25" customHeight="1" x14ac:dyDescent="0.2">
      <c r="E207" s="85">
        <v>203</v>
      </c>
      <c r="F207" s="82">
        <f t="shared" si="13"/>
        <v>17986.515754582571</v>
      </c>
      <c r="G207" s="82">
        <f t="shared" si="14"/>
        <v>9807.3448123539329</v>
      </c>
      <c r="H207" s="82">
        <f t="shared" si="15"/>
        <v>8179.1709422286385</v>
      </c>
      <c r="I207" s="87">
        <f t="shared" si="16"/>
        <v>1953289.7915285579</v>
      </c>
    </row>
    <row r="208" spans="5:9" ht="20.25" customHeight="1" x14ac:dyDescent="0.2">
      <c r="E208" s="160">
        <v>204</v>
      </c>
      <c r="F208" s="161">
        <f t="shared" si="13"/>
        <v>17986.515754582571</v>
      </c>
      <c r="G208" s="161">
        <f t="shared" si="14"/>
        <v>9766.4489576427895</v>
      </c>
      <c r="H208" s="161">
        <f t="shared" si="15"/>
        <v>8220.0667969397819</v>
      </c>
      <c r="I208" s="162">
        <f t="shared" si="16"/>
        <v>1945069.7247316181</v>
      </c>
    </row>
    <row r="209" spans="5:9" ht="20.25" customHeight="1" x14ac:dyDescent="0.2">
      <c r="E209" s="85">
        <v>205</v>
      </c>
      <c r="F209" s="82">
        <f t="shared" si="13"/>
        <v>17986.515754582571</v>
      </c>
      <c r="G209" s="82">
        <f t="shared" si="14"/>
        <v>9725.3486236580902</v>
      </c>
      <c r="H209" s="82">
        <f t="shared" si="15"/>
        <v>8261.1671309244812</v>
      </c>
      <c r="I209" s="87">
        <f t="shared" si="16"/>
        <v>1936808.5576006935</v>
      </c>
    </row>
    <row r="210" spans="5:9" ht="20.25" customHeight="1" x14ac:dyDescent="0.2">
      <c r="E210" s="85">
        <v>206</v>
      </c>
      <c r="F210" s="82">
        <f t="shared" si="13"/>
        <v>17986.515754582571</v>
      </c>
      <c r="G210" s="82">
        <f t="shared" si="14"/>
        <v>9684.0427880034676</v>
      </c>
      <c r="H210" s="82">
        <f t="shared" si="15"/>
        <v>8302.4729665791037</v>
      </c>
      <c r="I210" s="87">
        <f t="shared" si="16"/>
        <v>1928506.0846341145</v>
      </c>
    </row>
    <row r="211" spans="5:9" ht="20.25" customHeight="1" x14ac:dyDescent="0.2">
      <c r="E211" s="85">
        <v>207</v>
      </c>
      <c r="F211" s="82">
        <f t="shared" si="13"/>
        <v>17986.515754582571</v>
      </c>
      <c r="G211" s="82">
        <f t="shared" si="14"/>
        <v>9642.5304231705722</v>
      </c>
      <c r="H211" s="82">
        <f t="shared" si="15"/>
        <v>8343.9853314119991</v>
      </c>
      <c r="I211" s="87">
        <f t="shared" si="16"/>
        <v>1920162.0993027026</v>
      </c>
    </row>
    <row r="212" spans="5:9" ht="20.25" customHeight="1" x14ac:dyDescent="0.2">
      <c r="E212" s="85">
        <v>208</v>
      </c>
      <c r="F212" s="82">
        <f t="shared" si="13"/>
        <v>17986.515754582571</v>
      </c>
      <c r="G212" s="82">
        <f t="shared" si="14"/>
        <v>9600.8104965135117</v>
      </c>
      <c r="H212" s="82">
        <f t="shared" si="15"/>
        <v>8385.7052580690597</v>
      </c>
      <c r="I212" s="87">
        <f t="shared" si="16"/>
        <v>1911776.3940446335</v>
      </c>
    </row>
    <row r="213" spans="5:9" ht="20.25" customHeight="1" x14ac:dyDescent="0.2">
      <c r="E213" s="85">
        <v>209</v>
      </c>
      <c r="F213" s="82">
        <f t="shared" si="13"/>
        <v>17986.515754582571</v>
      </c>
      <c r="G213" s="82">
        <f t="shared" si="14"/>
        <v>9558.8819702231667</v>
      </c>
      <c r="H213" s="82">
        <f t="shared" si="15"/>
        <v>8427.6337843594047</v>
      </c>
      <c r="I213" s="87">
        <f t="shared" si="16"/>
        <v>1903348.7602602742</v>
      </c>
    </row>
    <row r="214" spans="5:9" ht="20.25" customHeight="1" x14ac:dyDescent="0.2">
      <c r="E214" s="85">
        <v>210</v>
      </c>
      <c r="F214" s="82">
        <f t="shared" si="13"/>
        <v>17986.515754582571</v>
      </c>
      <c r="G214" s="82">
        <f t="shared" si="14"/>
        <v>9516.7438013013707</v>
      </c>
      <c r="H214" s="82">
        <f t="shared" si="15"/>
        <v>8469.7719532812007</v>
      </c>
      <c r="I214" s="87">
        <f t="shared" si="16"/>
        <v>1894878.9883069929</v>
      </c>
    </row>
    <row r="215" spans="5:9" ht="20.25" customHeight="1" x14ac:dyDescent="0.2">
      <c r="E215" s="85">
        <v>211</v>
      </c>
      <c r="F215" s="82">
        <f t="shared" si="13"/>
        <v>17986.515754582571</v>
      </c>
      <c r="G215" s="82">
        <f t="shared" si="14"/>
        <v>9474.3949415349653</v>
      </c>
      <c r="H215" s="82">
        <f t="shared" si="15"/>
        <v>8512.1208130476061</v>
      </c>
      <c r="I215" s="87">
        <f t="shared" si="16"/>
        <v>1886366.8674939454</v>
      </c>
    </row>
    <row r="216" spans="5:9" ht="20.25" customHeight="1" x14ac:dyDescent="0.2">
      <c r="E216" s="85">
        <v>212</v>
      </c>
      <c r="F216" s="82">
        <f t="shared" si="13"/>
        <v>17986.515754582571</v>
      </c>
      <c r="G216" s="82">
        <f t="shared" si="14"/>
        <v>9431.834337469727</v>
      </c>
      <c r="H216" s="82">
        <f t="shared" si="15"/>
        <v>8554.6814171128444</v>
      </c>
      <c r="I216" s="87">
        <f t="shared" si="16"/>
        <v>1877812.1860768325</v>
      </c>
    </row>
    <row r="217" spans="5:9" ht="20.25" customHeight="1" x14ac:dyDescent="0.2">
      <c r="E217" s="85">
        <v>213</v>
      </c>
      <c r="F217" s="82">
        <f t="shared" si="13"/>
        <v>17986.515754582571</v>
      </c>
      <c r="G217" s="82">
        <f t="shared" si="14"/>
        <v>9389.0609303841611</v>
      </c>
      <c r="H217" s="82">
        <f t="shared" si="15"/>
        <v>8597.4548241984103</v>
      </c>
      <c r="I217" s="87">
        <f t="shared" si="16"/>
        <v>1869214.731252634</v>
      </c>
    </row>
    <row r="218" spans="5:9" ht="20.25" customHeight="1" x14ac:dyDescent="0.2">
      <c r="E218" s="85">
        <v>214</v>
      </c>
      <c r="F218" s="82">
        <f t="shared" si="13"/>
        <v>17986.515754582571</v>
      </c>
      <c r="G218" s="82">
        <f t="shared" si="14"/>
        <v>9346.0736562631701</v>
      </c>
      <c r="H218" s="82">
        <f t="shared" si="15"/>
        <v>8640.4420983194013</v>
      </c>
      <c r="I218" s="87">
        <f t="shared" si="16"/>
        <v>1860574.2891543147</v>
      </c>
    </row>
    <row r="219" spans="5:9" ht="20.25" customHeight="1" x14ac:dyDescent="0.2">
      <c r="E219" s="85">
        <v>215</v>
      </c>
      <c r="F219" s="82">
        <f t="shared" si="13"/>
        <v>17986.515754582571</v>
      </c>
      <c r="G219" s="82">
        <f t="shared" si="14"/>
        <v>9302.8714457715741</v>
      </c>
      <c r="H219" s="82">
        <f t="shared" si="15"/>
        <v>8683.6443088109972</v>
      </c>
      <c r="I219" s="87">
        <f t="shared" si="16"/>
        <v>1851890.6448455036</v>
      </c>
    </row>
    <row r="220" spans="5:9" ht="20.25" customHeight="1" x14ac:dyDescent="0.2">
      <c r="E220" s="160">
        <v>216</v>
      </c>
      <c r="F220" s="161">
        <f t="shared" si="13"/>
        <v>17986.515754582571</v>
      </c>
      <c r="G220" s="161">
        <f t="shared" si="14"/>
        <v>9259.4532242275181</v>
      </c>
      <c r="H220" s="161">
        <f t="shared" si="15"/>
        <v>8727.0625303550532</v>
      </c>
      <c r="I220" s="162">
        <f t="shared" si="16"/>
        <v>1843163.5823151486</v>
      </c>
    </row>
    <row r="221" spans="5:9" ht="20.25" customHeight="1" x14ac:dyDescent="0.2">
      <c r="E221" s="85">
        <v>217</v>
      </c>
      <c r="F221" s="82">
        <f t="shared" si="13"/>
        <v>17986.515754582571</v>
      </c>
      <c r="G221" s="82">
        <f t="shared" si="14"/>
        <v>9215.817911575743</v>
      </c>
      <c r="H221" s="82">
        <f t="shared" si="15"/>
        <v>8770.6978430068284</v>
      </c>
      <c r="I221" s="87">
        <f t="shared" si="16"/>
        <v>1834392.8844721417</v>
      </c>
    </row>
    <row r="222" spans="5:9" ht="20.25" customHeight="1" x14ac:dyDescent="0.2">
      <c r="E222" s="85">
        <v>218</v>
      </c>
      <c r="F222" s="82">
        <f t="shared" si="13"/>
        <v>17986.515754582571</v>
      </c>
      <c r="G222" s="82">
        <f t="shared" si="14"/>
        <v>9171.9644223607083</v>
      </c>
      <c r="H222" s="82">
        <f t="shared" si="15"/>
        <v>8814.551332221863</v>
      </c>
      <c r="I222" s="87">
        <f t="shared" si="16"/>
        <v>1825578.3331399199</v>
      </c>
    </row>
    <row r="223" spans="5:9" ht="20.25" customHeight="1" x14ac:dyDescent="0.2">
      <c r="E223" s="85">
        <v>219</v>
      </c>
      <c r="F223" s="82">
        <f t="shared" si="13"/>
        <v>17986.515754582571</v>
      </c>
      <c r="G223" s="82">
        <f t="shared" si="14"/>
        <v>9127.8916656995989</v>
      </c>
      <c r="H223" s="82">
        <f t="shared" si="15"/>
        <v>8858.6240888829725</v>
      </c>
      <c r="I223" s="87">
        <f t="shared" si="16"/>
        <v>1816719.709051037</v>
      </c>
    </row>
    <row r="224" spans="5:9" ht="20.25" customHeight="1" x14ac:dyDescent="0.2">
      <c r="E224" s="85">
        <v>220</v>
      </c>
      <c r="F224" s="82">
        <f t="shared" si="13"/>
        <v>17986.515754582571</v>
      </c>
      <c r="G224" s="82">
        <f t="shared" si="14"/>
        <v>9083.5985452551849</v>
      </c>
      <c r="H224" s="82">
        <f t="shared" si="15"/>
        <v>8902.9172093273864</v>
      </c>
      <c r="I224" s="87">
        <f t="shared" si="16"/>
        <v>1807816.7918417095</v>
      </c>
    </row>
    <row r="225" spans="5:9" ht="20.25" customHeight="1" x14ac:dyDescent="0.2">
      <c r="E225" s="85">
        <v>221</v>
      </c>
      <c r="F225" s="82">
        <f t="shared" si="13"/>
        <v>17986.515754582571</v>
      </c>
      <c r="G225" s="82">
        <f t="shared" si="14"/>
        <v>9039.0839592085467</v>
      </c>
      <c r="H225" s="82">
        <f t="shared" si="15"/>
        <v>8947.4317953740247</v>
      </c>
      <c r="I225" s="87">
        <f t="shared" si="16"/>
        <v>1798869.3600463355</v>
      </c>
    </row>
    <row r="226" spans="5:9" ht="20.25" customHeight="1" x14ac:dyDescent="0.2">
      <c r="E226" s="85">
        <v>222</v>
      </c>
      <c r="F226" s="82">
        <f t="shared" si="13"/>
        <v>17986.515754582571</v>
      </c>
      <c r="G226" s="82">
        <f t="shared" si="14"/>
        <v>8994.3468002316768</v>
      </c>
      <c r="H226" s="82">
        <f t="shared" si="15"/>
        <v>8992.1689543508946</v>
      </c>
      <c r="I226" s="87">
        <f t="shared" si="16"/>
        <v>1789877.1910919845</v>
      </c>
    </row>
    <row r="227" spans="5:9" ht="20.25" customHeight="1" x14ac:dyDescent="0.2">
      <c r="E227" s="85">
        <v>223</v>
      </c>
      <c r="F227" s="82">
        <f t="shared" si="13"/>
        <v>17986.515754582571</v>
      </c>
      <c r="G227" s="82">
        <f t="shared" si="14"/>
        <v>8949.3859554599221</v>
      </c>
      <c r="H227" s="82">
        <f t="shared" si="15"/>
        <v>9037.1297991226493</v>
      </c>
      <c r="I227" s="87">
        <f t="shared" si="16"/>
        <v>1780840.0612928618</v>
      </c>
    </row>
    <row r="228" spans="5:9" ht="20.25" customHeight="1" x14ac:dyDescent="0.2">
      <c r="E228" s="85">
        <v>224</v>
      </c>
      <c r="F228" s="82">
        <f t="shared" si="13"/>
        <v>17986.515754582571</v>
      </c>
      <c r="G228" s="82">
        <f t="shared" si="14"/>
        <v>8904.2003064643086</v>
      </c>
      <c r="H228" s="82">
        <f t="shared" si="15"/>
        <v>9082.3154481182628</v>
      </c>
      <c r="I228" s="87">
        <f t="shared" si="16"/>
        <v>1771757.7458447434</v>
      </c>
    </row>
    <row r="229" spans="5:9" ht="20.25" customHeight="1" x14ac:dyDescent="0.2">
      <c r="E229" s="85">
        <v>225</v>
      </c>
      <c r="F229" s="82">
        <f t="shared" si="13"/>
        <v>17986.515754582571</v>
      </c>
      <c r="G229" s="82">
        <f t="shared" si="14"/>
        <v>8858.7887292237174</v>
      </c>
      <c r="H229" s="82">
        <f t="shared" si="15"/>
        <v>9127.727025358854</v>
      </c>
      <c r="I229" s="87">
        <f t="shared" si="16"/>
        <v>1762630.0188193845</v>
      </c>
    </row>
    <row r="230" spans="5:9" ht="20.25" customHeight="1" x14ac:dyDescent="0.2">
      <c r="E230" s="85">
        <v>226</v>
      </c>
      <c r="F230" s="82">
        <f t="shared" si="13"/>
        <v>17986.515754582571</v>
      </c>
      <c r="G230" s="82">
        <f t="shared" si="14"/>
        <v>8813.1500940969217</v>
      </c>
      <c r="H230" s="82">
        <f t="shared" si="15"/>
        <v>9173.3656604856496</v>
      </c>
      <c r="I230" s="87">
        <f t="shared" si="16"/>
        <v>1753456.6531588989</v>
      </c>
    </row>
    <row r="231" spans="5:9" ht="20.25" customHeight="1" x14ac:dyDescent="0.2">
      <c r="E231" s="85">
        <v>227</v>
      </c>
      <c r="F231" s="82">
        <f t="shared" si="13"/>
        <v>17986.515754582571</v>
      </c>
      <c r="G231" s="82">
        <f t="shared" si="14"/>
        <v>8767.2832657944946</v>
      </c>
      <c r="H231" s="82">
        <f t="shared" si="15"/>
        <v>9219.2324887880768</v>
      </c>
      <c r="I231" s="87">
        <f t="shared" si="16"/>
        <v>1744237.420670111</v>
      </c>
    </row>
    <row r="232" spans="5:9" ht="20.25" customHeight="1" x14ac:dyDescent="0.2">
      <c r="E232" s="160">
        <v>228</v>
      </c>
      <c r="F232" s="161">
        <f t="shared" si="13"/>
        <v>17986.515754582571</v>
      </c>
      <c r="G232" s="161">
        <f t="shared" si="14"/>
        <v>8721.187103350554</v>
      </c>
      <c r="H232" s="161">
        <f t="shared" si="15"/>
        <v>9265.3286512320174</v>
      </c>
      <c r="I232" s="162">
        <f t="shared" si="16"/>
        <v>1734972.092018879</v>
      </c>
    </row>
    <row r="233" spans="5:9" ht="20.25" customHeight="1" x14ac:dyDescent="0.2">
      <c r="E233" s="85">
        <v>229</v>
      </c>
      <c r="F233" s="82">
        <f t="shared" si="13"/>
        <v>17986.515754582571</v>
      </c>
      <c r="G233" s="82">
        <f t="shared" si="14"/>
        <v>8674.8604600943945</v>
      </c>
      <c r="H233" s="82">
        <f t="shared" si="15"/>
        <v>9311.6552944881769</v>
      </c>
      <c r="I233" s="87">
        <f t="shared" si="16"/>
        <v>1725660.4367243908</v>
      </c>
    </row>
    <row r="234" spans="5:9" ht="20.25" customHeight="1" x14ac:dyDescent="0.2">
      <c r="E234" s="85">
        <v>230</v>
      </c>
      <c r="F234" s="82">
        <f t="shared" si="13"/>
        <v>17986.515754582571</v>
      </c>
      <c r="G234" s="82">
        <f t="shared" si="14"/>
        <v>8628.3021836219541</v>
      </c>
      <c r="H234" s="82">
        <f t="shared" si="15"/>
        <v>9358.2135709606173</v>
      </c>
      <c r="I234" s="87">
        <f t="shared" si="16"/>
        <v>1716302.2231534303</v>
      </c>
    </row>
    <row r="235" spans="5:9" ht="20.25" customHeight="1" x14ac:dyDescent="0.2">
      <c r="E235" s="85">
        <v>231</v>
      </c>
      <c r="F235" s="82">
        <f t="shared" si="13"/>
        <v>17986.515754582571</v>
      </c>
      <c r="G235" s="82">
        <f t="shared" si="14"/>
        <v>8581.5111157671508</v>
      </c>
      <c r="H235" s="82">
        <f t="shared" si="15"/>
        <v>9405.0046388154205</v>
      </c>
      <c r="I235" s="87">
        <f t="shared" si="16"/>
        <v>1706897.2185146147</v>
      </c>
    </row>
    <row r="236" spans="5:9" ht="20.25" customHeight="1" x14ac:dyDescent="0.2">
      <c r="E236" s="85">
        <v>232</v>
      </c>
      <c r="F236" s="82">
        <f t="shared" si="13"/>
        <v>17986.515754582571</v>
      </c>
      <c r="G236" s="82">
        <f t="shared" si="14"/>
        <v>8534.4860925730736</v>
      </c>
      <c r="H236" s="82">
        <f t="shared" si="15"/>
        <v>9452.0296620094978</v>
      </c>
      <c r="I236" s="87">
        <f t="shared" si="16"/>
        <v>1697445.1888526052</v>
      </c>
    </row>
    <row r="237" spans="5:9" ht="20.25" customHeight="1" x14ac:dyDescent="0.2">
      <c r="E237" s="85">
        <v>233</v>
      </c>
      <c r="F237" s="82">
        <f t="shared" si="13"/>
        <v>17986.515754582571</v>
      </c>
      <c r="G237" s="82">
        <f t="shared" si="14"/>
        <v>8487.2259442630257</v>
      </c>
      <c r="H237" s="82">
        <f t="shared" si="15"/>
        <v>9499.2898103195457</v>
      </c>
      <c r="I237" s="87">
        <f t="shared" si="16"/>
        <v>1687945.8990422857</v>
      </c>
    </row>
    <row r="238" spans="5:9" ht="20.25" customHeight="1" x14ac:dyDescent="0.2">
      <c r="E238" s="85">
        <v>234</v>
      </c>
      <c r="F238" s="82">
        <f t="shared" si="13"/>
        <v>17986.515754582571</v>
      </c>
      <c r="G238" s="82">
        <f t="shared" si="14"/>
        <v>8439.729495211428</v>
      </c>
      <c r="H238" s="82">
        <f t="shared" si="15"/>
        <v>9546.7862593711434</v>
      </c>
      <c r="I238" s="87">
        <f t="shared" si="16"/>
        <v>1678399.1127829147</v>
      </c>
    </row>
    <row r="239" spans="5:9" ht="20.25" customHeight="1" x14ac:dyDescent="0.2">
      <c r="E239" s="85">
        <v>235</v>
      </c>
      <c r="F239" s="82">
        <f t="shared" si="13"/>
        <v>17986.515754582571</v>
      </c>
      <c r="G239" s="82">
        <f t="shared" si="14"/>
        <v>8391.9955639145719</v>
      </c>
      <c r="H239" s="82">
        <f t="shared" si="15"/>
        <v>9594.5201906679995</v>
      </c>
      <c r="I239" s="87">
        <f t="shared" si="16"/>
        <v>1668804.5925922466</v>
      </c>
    </row>
    <row r="240" spans="5:9" ht="20.25" customHeight="1" x14ac:dyDescent="0.2">
      <c r="E240" s="85">
        <v>236</v>
      </c>
      <c r="F240" s="82">
        <f t="shared" si="13"/>
        <v>17986.515754582571</v>
      </c>
      <c r="G240" s="82">
        <f t="shared" si="14"/>
        <v>8344.0229629612331</v>
      </c>
      <c r="H240" s="82">
        <f t="shared" si="15"/>
        <v>9642.4927916213383</v>
      </c>
      <c r="I240" s="87">
        <f t="shared" si="16"/>
        <v>1659162.0998006254</v>
      </c>
    </row>
    <row r="241" spans="5:9" ht="20.25" customHeight="1" x14ac:dyDescent="0.2">
      <c r="E241" s="85">
        <v>237</v>
      </c>
      <c r="F241" s="82">
        <f t="shared" si="13"/>
        <v>17986.515754582571</v>
      </c>
      <c r="G241" s="82">
        <f t="shared" si="14"/>
        <v>8295.8104990031261</v>
      </c>
      <c r="H241" s="82">
        <f t="shared" si="15"/>
        <v>9690.7052555794453</v>
      </c>
      <c r="I241" s="87">
        <f t="shared" si="16"/>
        <v>1649471.3945450459</v>
      </c>
    </row>
    <row r="242" spans="5:9" ht="20.25" customHeight="1" x14ac:dyDescent="0.2">
      <c r="E242" s="85">
        <v>238</v>
      </c>
      <c r="F242" s="82">
        <f t="shared" si="13"/>
        <v>17986.515754582571</v>
      </c>
      <c r="G242" s="82">
        <f t="shared" si="14"/>
        <v>8247.3569727252288</v>
      </c>
      <c r="H242" s="82">
        <f t="shared" si="15"/>
        <v>9739.1587818573425</v>
      </c>
      <c r="I242" s="87">
        <f t="shared" si="16"/>
        <v>1639732.2357631887</v>
      </c>
    </row>
    <row r="243" spans="5:9" ht="20.25" customHeight="1" x14ac:dyDescent="0.2">
      <c r="E243" s="85">
        <v>239</v>
      </c>
      <c r="F243" s="82">
        <f t="shared" si="13"/>
        <v>17986.515754582571</v>
      </c>
      <c r="G243" s="82">
        <f t="shared" si="14"/>
        <v>8198.6611788159425</v>
      </c>
      <c r="H243" s="82">
        <f t="shared" si="15"/>
        <v>9787.8545757666288</v>
      </c>
      <c r="I243" s="87">
        <f t="shared" si="16"/>
        <v>1629944.381187422</v>
      </c>
    </row>
    <row r="244" spans="5:9" ht="20.25" customHeight="1" x14ac:dyDescent="0.2">
      <c r="E244" s="160">
        <v>240</v>
      </c>
      <c r="F244" s="161">
        <f t="shared" si="13"/>
        <v>17986.515754582571</v>
      </c>
      <c r="G244" s="161">
        <f t="shared" si="14"/>
        <v>8149.7219059371091</v>
      </c>
      <c r="H244" s="161">
        <f t="shared" si="15"/>
        <v>9836.7938486454623</v>
      </c>
      <c r="I244" s="162">
        <f t="shared" si="16"/>
        <v>1620107.5873387766</v>
      </c>
    </row>
    <row r="245" spans="5:9" ht="20.25" customHeight="1" x14ac:dyDescent="0.2">
      <c r="E245" s="85">
        <v>241</v>
      </c>
      <c r="F245" s="82">
        <f t="shared" si="13"/>
        <v>17986.515754582571</v>
      </c>
      <c r="G245" s="82">
        <f t="shared" si="14"/>
        <v>8100.5379366938823</v>
      </c>
      <c r="H245" s="82">
        <f t="shared" si="15"/>
        <v>9885.9778178886882</v>
      </c>
      <c r="I245" s="87">
        <f t="shared" si="16"/>
        <v>1610221.609520888</v>
      </c>
    </row>
    <row r="246" spans="5:9" ht="20.25" customHeight="1" x14ac:dyDescent="0.2">
      <c r="E246" s="85">
        <v>242</v>
      </c>
      <c r="F246" s="82">
        <f t="shared" si="13"/>
        <v>17986.515754582571</v>
      </c>
      <c r="G246" s="82">
        <f t="shared" si="14"/>
        <v>8051.1080476044399</v>
      </c>
      <c r="H246" s="82">
        <f t="shared" si="15"/>
        <v>9935.4077069781306</v>
      </c>
      <c r="I246" s="87">
        <f t="shared" si="16"/>
        <v>1600286.2018139099</v>
      </c>
    </row>
    <row r="247" spans="5:9" ht="20.25" customHeight="1" x14ac:dyDescent="0.2">
      <c r="E247" s="85">
        <v>243</v>
      </c>
      <c r="F247" s="82">
        <f t="shared" si="13"/>
        <v>17986.515754582571</v>
      </c>
      <c r="G247" s="82">
        <f t="shared" si="14"/>
        <v>8001.4310090695499</v>
      </c>
      <c r="H247" s="82">
        <f t="shared" si="15"/>
        <v>9985.0847455130206</v>
      </c>
      <c r="I247" s="87">
        <f t="shared" si="16"/>
        <v>1590301.1170683969</v>
      </c>
    </row>
    <row r="248" spans="5:9" ht="20.25" customHeight="1" x14ac:dyDescent="0.2">
      <c r="E248" s="85">
        <v>244</v>
      </c>
      <c r="F248" s="82">
        <f t="shared" si="13"/>
        <v>17986.515754582571</v>
      </c>
      <c r="G248" s="82">
        <f t="shared" si="14"/>
        <v>7951.5055853419835</v>
      </c>
      <c r="H248" s="82">
        <f t="shared" si="15"/>
        <v>10035.010169240588</v>
      </c>
      <c r="I248" s="87">
        <f t="shared" si="16"/>
        <v>1580266.1068991562</v>
      </c>
    </row>
    <row r="249" spans="5:9" ht="20.25" customHeight="1" x14ac:dyDescent="0.2">
      <c r="E249" s="85">
        <v>245</v>
      </c>
      <c r="F249" s="82">
        <f t="shared" si="13"/>
        <v>17986.515754582571</v>
      </c>
      <c r="G249" s="82">
        <f t="shared" si="14"/>
        <v>7901.3305344957807</v>
      </c>
      <c r="H249" s="82">
        <f t="shared" si="15"/>
        <v>10085.185220086791</v>
      </c>
      <c r="I249" s="87">
        <f t="shared" si="16"/>
        <v>1570180.9216790695</v>
      </c>
    </row>
    <row r="250" spans="5:9" ht="20.25" customHeight="1" x14ac:dyDescent="0.2">
      <c r="E250" s="85">
        <v>246</v>
      </c>
      <c r="F250" s="82">
        <f t="shared" si="13"/>
        <v>17986.515754582571</v>
      </c>
      <c r="G250" s="82">
        <f t="shared" si="14"/>
        <v>7850.9046083953472</v>
      </c>
      <c r="H250" s="82">
        <f t="shared" si="15"/>
        <v>10135.611146187224</v>
      </c>
      <c r="I250" s="87">
        <f t="shared" si="16"/>
        <v>1560045.3105328823</v>
      </c>
    </row>
    <row r="251" spans="5:9" ht="20.25" customHeight="1" x14ac:dyDescent="0.2">
      <c r="E251" s="85">
        <v>247</v>
      </c>
      <c r="F251" s="82">
        <f t="shared" si="13"/>
        <v>17986.515754582571</v>
      </c>
      <c r="G251" s="82">
        <f t="shared" si="14"/>
        <v>7800.2265526644114</v>
      </c>
      <c r="H251" s="82">
        <f t="shared" si="15"/>
        <v>10186.28920191816</v>
      </c>
      <c r="I251" s="87">
        <f t="shared" si="16"/>
        <v>1549859.0213309643</v>
      </c>
    </row>
    <row r="252" spans="5:9" ht="20.25" customHeight="1" x14ac:dyDescent="0.2">
      <c r="E252" s="85">
        <v>248</v>
      </c>
      <c r="F252" s="82">
        <f t="shared" si="13"/>
        <v>17986.515754582571</v>
      </c>
      <c r="G252" s="82">
        <f t="shared" si="14"/>
        <v>7749.2951066548203</v>
      </c>
      <c r="H252" s="82">
        <f t="shared" si="15"/>
        <v>10237.220647927752</v>
      </c>
      <c r="I252" s="87">
        <f t="shared" si="16"/>
        <v>1539621.8006830364</v>
      </c>
    </row>
    <row r="253" spans="5:9" ht="20.25" customHeight="1" x14ac:dyDescent="0.2">
      <c r="E253" s="85">
        <v>249</v>
      </c>
      <c r="F253" s="82">
        <f t="shared" si="13"/>
        <v>17986.515754582571</v>
      </c>
      <c r="G253" s="82">
        <f t="shared" si="14"/>
        <v>7698.1090034151821</v>
      </c>
      <c r="H253" s="82">
        <f t="shared" si="15"/>
        <v>10288.406751167389</v>
      </c>
      <c r="I253" s="87">
        <f t="shared" si="16"/>
        <v>1529333.393931869</v>
      </c>
    </row>
    <row r="254" spans="5:9" ht="20.25" customHeight="1" x14ac:dyDescent="0.2">
      <c r="E254" s="85">
        <v>250</v>
      </c>
      <c r="F254" s="82">
        <f t="shared" si="13"/>
        <v>17986.515754582571</v>
      </c>
      <c r="G254" s="82">
        <f t="shared" si="14"/>
        <v>7646.6669696593444</v>
      </c>
      <c r="H254" s="82">
        <f t="shared" si="15"/>
        <v>10339.848784923226</v>
      </c>
      <c r="I254" s="87">
        <f t="shared" si="16"/>
        <v>1518993.5451469456</v>
      </c>
    </row>
    <row r="255" spans="5:9" ht="20.25" customHeight="1" x14ac:dyDescent="0.2">
      <c r="E255" s="85">
        <v>251</v>
      </c>
      <c r="F255" s="82">
        <f t="shared" si="13"/>
        <v>17986.515754582571</v>
      </c>
      <c r="G255" s="82">
        <f t="shared" si="14"/>
        <v>7594.9677257347284</v>
      </c>
      <c r="H255" s="82">
        <f t="shared" si="15"/>
        <v>10391.548028847843</v>
      </c>
      <c r="I255" s="87">
        <f t="shared" si="16"/>
        <v>1508601.9971180977</v>
      </c>
    </row>
    <row r="256" spans="5:9" ht="20.25" customHeight="1" x14ac:dyDescent="0.2">
      <c r="E256" s="160">
        <v>252</v>
      </c>
      <c r="F256" s="161">
        <f t="shared" si="13"/>
        <v>17986.515754582571</v>
      </c>
      <c r="G256" s="161">
        <f t="shared" si="14"/>
        <v>7543.0099855904882</v>
      </c>
      <c r="H256" s="161">
        <f t="shared" si="15"/>
        <v>10443.505768992083</v>
      </c>
      <c r="I256" s="162">
        <f t="shared" si="16"/>
        <v>1498158.4913491057</v>
      </c>
    </row>
    <row r="257" spans="5:9" ht="20.25" customHeight="1" x14ac:dyDescent="0.2">
      <c r="E257" s="85">
        <v>253</v>
      </c>
      <c r="F257" s="82">
        <f t="shared" si="13"/>
        <v>17986.515754582571</v>
      </c>
      <c r="G257" s="82">
        <f t="shared" si="14"/>
        <v>7490.7924567455275</v>
      </c>
      <c r="H257" s="82">
        <f t="shared" si="15"/>
        <v>10495.723297837045</v>
      </c>
      <c r="I257" s="87">
        <f t="shared" si="16"/>
        <v>1487662.7680512688</v>
      </c>
    </row>
    <row r="258" spans="5:9" ht="20.25" customHeight="1" x14ac:dyDescent="0.2">
      <c r="E258" s="85">
        <v>254</v>
      </c>
      <c r="F258" s="82">
        <f t="shared" si="13"/>
        <v>17986.515754582571</v>
      </c>
      <c r="G258" s="82">
        <f t="shared" si="14"/>
        <v>7438.3138402563427</v>
      </c>
      <c r="H258" s="82">
        <f t="shared" si="15"/>
        <v>10548.20191432623</v>
      </c>
      <c r="I258" s="87">
        <f t="shared" si="16"/>
        <v>1477114.5661369425</v>
      </c>
    </row>
    <row r="259" spans="5:9" ht="20.25" customHeight="1" x14ac:dyDescent="0.2">
      <c r="E259" s="85">
        <v>255</v>
      </c>
      <c r="F259" s="82">
        <f t="shared" si="13"/>
        <v>17986.515754582571</v>
      </c>
      <c r="G259" s="82">
        <f t="shared" si="14"/>
        <v>7385.5728306847122</v>
      </c>
      <c r="H259" s="82">
        <f t="shared" si="15"/>
        <v>10600.942923897859</v>
      </c>
      <c r="I259" s="87">
        <f t="shared" si="16"/>
        <v>1466513.6232130446</v>
      </c>
    </row>
    <row r="260" spans="5:9" ht="20.25" customHeight="1" x14ac:dyDescent="0.2">
      <c r="E260" s="85">
        <v>256</v>
      </c>
      <c r="F260" s="82">
        <f t="shared" si="13"/>
        <v>17986.515754582571</v>
      </c>
      <c r="G260" s="82">
        <f t="shared" si="14"/>
        <v>7332.568116065223</v>
      </c>
      <c r="H260" s="82">
        <f t="shared" si="15"/>
        <v>10653.947638517348</v>
      </c>
      <c r="I260" s="87">
        <f t="shared" si="16"/>
        <v>1455859.6755745274</v>
      </c>
    </row>
    <row r="261" spans="5:9" ht="20.25" customHeight="1" x14ac:dyDescent="0.2">
      <c r="E261" s="85">
        <v>257</v>
      </c>
      <c r="F261" s="82">
        <f t="shared" ref="F261:F324" si="17">IF($C$7+$C$11&gt;I260,I260*(1+$C$4/12),$C$7+$C$11)</f>
        <v>17986.515754582571</v>
      </c>
      <c r="G261" s="82">
        <f t="shared" si="14"/>
        <v>7279.2983778726366</v>
      </c>
      <c r="H261" s="82">
        <f t="shared" si="15"/>
        <v>10707.217376709934</v>
      </c>
      <c r="I261" s="87">
        <f t="shared" si="16"/>
        <v>1445152.4581978174</v>
      </c>
    </row>
    <row r="262" spans="5:9" ht="20.25" customHeight="1" x14ac:dyDescent="0.2">
      <c r="E262" s="85">
        <v>258</v>
      </c>
      <c r="F262" s="82">
        <f t="shared" si="17"/>
        <v>17986.515754582571</v>
      </c>
      <c r="G262" s="82">
        <f t="shared" ref="G262:G325" si="18">I261*$C$4/12</f>
        <v>7225.7622909890861</v>
      </c>
      <c r="H262" s="82">
        <f t="shared" ref="H262:H325" si="19">F262-G262</f>
        <v>10760.753463593486</v>
      </c>
      <c r="I262" s="87">
        <f t="shared" ref="I262:I325" si="20">IF(I261-$H262&lt;0,0,I261-$H262)</f>
        <v>1434391.7047342239</v>
      </c>
    </row>
    <row r="263" spans="5:9" ht="20.25" customHeight="1" x14ac:dyDescent="0.2">
      <c r="E263" s="85">
        <v>259</v>
      </c>
      <c r="F263" s="82">
        <f t="shared" si="17"/>
        <v>17986.515754582571</v>
      </c>
      <c r="G263" s="82">
        <f t="shared" si="18"/>
        <v>7171.95852367112</v>
      </c>
      <c r="H263" s="82">
        <f t="shared" si="19"/>
        <v>10814.55723091145</v>
      </c>
      <c r="I263" s="87">
        <f t="shared" si="20"/>
        <v>1423577.1475033124</v>
      </c>
    </row>
    <row r="264" spans="5:9" ht="20.25" customHeight="1" x14ac:dyDescent="0.2">
      <c r="E264" s="85">
        <v>260</v>
      </c>
      <c r="F264" s="82">
        <f t="shared" si="17"/>
        <v>17986.515754582571</v>
      </c>
      <c r="G264" s="82">
        <f t="shared" si="18"/>
        <v>7117.8857375165617</v>
      </c>
      <c r="H264" s="82">
        <f t="shared" si="19"/>
        <v>10868.630017066011</v>
      </c>
      <c r="I264" s="87">
        <f t="shared" si="20"/>
        <v>1412708.5174862465</v>
      </c>
    </row>
    <row r="265" spans="5:9" ht="20.25" customHeight="1" x14ac:dyDescent="0.2">
      <c r="E265" s="85">
        <v>261</v>
      </c>
      <c r="F265" s="82">
        <f t="shared" si="17"/>
        <v>17986.515754582571</v>
      </c>
      <c r="G265" s="82">
        <f t="shared" si="18"/>
        <v>7063.5425874312323</v>
      </c>
      <c r="H265" s="82">
        <f t="shared" si="19"/>
        <v>10922.97316715134</v>
      </c>
      <c r="I265" s="87">
        <f t="shared" si="20"/>
        <v>1401785.5443190951</v>
      </c>
    </row>
    <row r="266" spans="5:9" ht="20.25" customHeight="1" x14ac:dyDescent="0.2">
      <c r="E266" s="85">
        <v>262</v>
      </c>
      <c r="F266" s="82">
        <f t="shared" si="17"/>
        <v>17986.515754582571</v>
      </c>
      <c r="G266" s="82">
        <f t="shared" si="18"/>
        <v>7008.9277215954753</v>
      </c>
      <c r="H266" s="82">
        <f t="shared" si="19"/>
        <v>10977.588032987096</v>
      </c>
      <c r="I266" s="87">
        <f t="shared" si="20"/>
        <v>1390807.9562861079</v>
      </c>
    </row>
    <row r="267" spans="5:9" ht="20.25" customHeight="1" x14ac:dyDescent="0.2">
      <c r="E267" s="85">
        <v>263</v>
      </c>
      <c r="F267" s="82">
        <f t="shared" si="17"/>
        <v>17986.515754582571</v>
      </c>
      <c r="G267" s="82">
        <f t="shared" si="18"/>
        <v>6954.0397814305397</v>
      </c>
      <c r="H267" s="82">
        <f t="shared" si="19"/>
        <v>11032.475973152032</v>
      </c>
      <c r="I267" s="87">
        <f t="shared" si="20"/>
        <v>1379775.4803129558</v>
      </c>
    </row>
    <row r="268" spans="5:9" ht="20.25" customHeight="1" x14ac:dyDescent="0.2">
      <c r="E268" s="160">
        <v>264</v>
      </c>
      <c r="F268" s="161">
        <f t="shared" si="17"/>
        <v>17986.515754582571</v>
      </c>
      <c r="G268" s="161">
        <f t="shared" si="18"/>
        <v>6898.8774015647787</v>
      </c>
      <c r="H268" s="161">
        <f t="shared" si="19"/>
        <v>11087.638353017792</v>
      </c>
      <c r="I268" s="162">
        <f t="shared" si="20"/>
        <v>1368687.8419599379</v>
      </c>
    </row>
    <row r="269" spans="5:9" ht="20.25" customHeight="1" x14ac:dyDescent="0.2">
      <c r="E269" s="85">
        <v>265</v>
      </c>
      <c r="F269" s="82">
        <f t="shared" si="17"/>
        <v>17986.515754582571</v>
      </c>
      <c r="G269" s="82">
        <f t="shared" si="18"/>
        <v>6843.4392097996897</v>
      </c>
      <c r="H269" s="82">
        <f t="shared" si="19"/>
        <v>11143.076544782882</v>
      </c>
      <c r="I269" s="87">
        <f t="shared" si="20"/>
        <v>1357544.7654151551</v>
      </c>
    </row>
    <row r="270" spans="5:9" ht="20.25" customHeight="1" x14ac:dyDescent="0.2">
      <c r="E270" s="85">
        <v>266</v>
      </c>
      <c r="F270" s="82">
        <f t="shared" si="17"/>
        <v>17986.515754582571</v>
      </c>
      <c r="G270" s="82">
        <f t="shared" si="18"/>
        <v>6787.7238270757744</v>
      </c>
      <c r="H270" s="82">
        <f t="shared" si="19"/>
        <v>11198.791927506798</v>
      </c>
      <c r="I270" s="87">
        <f t="shared" si="20"/>
        <v>1346345.9734876482</v>
      </c>
    </row>
    <row r="271" spans="5:9" ht="20.25" customHeight="1" x14ac:dyDescent="0.2">
      <c r="E271" s="85">
        <v>267</v>
      </c>
      <c r="F271" s="82">
        <f t="shared" si="17"/>
        <v>17986.515754582571</v>
      </c>
      <c r="G271" s="82">
        <f t="shared" si="18"/>
        <v>6731.7298674382409</v>
      </c>
      <c r="H271" s="82">
        <f t="shared" si="19"/>
        <v>11254.785887144331</v>
      </c>
      <c r="I271" s="87">
        <f t="shared" si="20"/>
        <v>1335091.1876005039</v>
      </c>
    </row>
    <row r="272" spans="5:9" ht="20.25" customHeight="1" x14ac:dyDescent="0.2">
      <c r="E272" s="85">
        <v>268</v>
      </c>
      <c r="F272" s="82">
        <f t="shared" si="17"/>
        <v>17986.515754582571</v>
      </c>
      <c r="G272" s="82">
        <f t="shared" si="18"/>
        <v>6675.4559380025194</v>
      </c>
      <c r="H272" s="82">
        <f t="shared" si="19"/>
        <v>11311.059816580051</v>
      </c>
      <c r="I272" s="87">
        <f t="shared" si="20"/>
        <v>1323780.1277839239</v>
      </c>
    </row>
    <row r="273" spans="5:9" ht="20.25" customHeight="1" x14ac:dyDescent="0.2">
      <c r="E273" s="85">
        <v>269</v>
      </c>
      <c r="F273" s="82">
        <f t="shared" si="17"/>
        <v>17986.515754582571</v>
      </c>
      <c r="G273" s="82">
        <f t="shared" si="18"/>
        <v>6618.9006389196193</v>
      </c>
      <c r="H273" s="82">
        <f t="shared" si="19"/>
        <v>11367.615115662953</v>
      </c>
      <c r="I273" s="87">
        <f t="shared" si="20"/>
        <v>1312412.5126682608</v>
      </c>
    </row>
    <row r="274" spans="5:9" ht="20.25" customHeight="1" x14ac:dyDescent="0.2">
      <c r="E274" s="85">
        <v>270</v>
      </c>
      <c r="F274" s="82">
        <f t="shared" si="17"/>
        <v>17986.515754582571</v>
      </c>
      <c r="G274" s="82">
        <f t="shared" si="18"/>
        <v>6562.0625633413038</v>
      </c>
      <c r="H274" s="82">
        <f t="shared" si="19"/>
        <v>11424.453191241268</v>
      </c>
      <c r="I274" s="87">
        <f t="shared" si="20"/>
        <v>1300988.0594770196</v>
      </c>
    </row>
    <row r="275" spans="5:9" ht="20.25" customHeight="1" x14ac:dyDescent="0.2">
      <c r="E275" s="85">
        <v>271</v>
      </c>
      <c r="F275" s="82">
        <f t="shared" si="17"/>
        <v>17986.515754582571</v>
      </c>
      <c r="G275" s="82">
        <f t="shared" si="18"/>
        <v>6504.9402973850983</v>
      </c>
      <c r="H275" s="82">
        <f t="shared" si="19"/>
        <v>11481.575457197472</v>
      </c>
      <c r="I275" s="87">
        <f t="shared" si="20"/>
        <v>1289506.4840198222</v>
      </c>
    </row>
    <row r="276" spans="5:9" ht="20.25" customHeight="1" x14ac:dyDescent="0.2">
      <c r="E276" s="85">
        <v>272</v>
      </c>
      <c r="F276" s="82">
        <f t="shared" si="17"/>
        <v>17986.515754582571</v>
      </c>
      <c r="G276" s="82">
        <f t="shared" si="18"/>
        <v>6447.5324200991099</v>
      </c>
      <c r="H276" s="82">
        <f t="shared" si="19"/>
        <v>11538.983334483462</v>
      </c>
      <c r="I276" s="87">
        <f t="shared" si="20"/>
        <v>1277967.5006853389</v>
      </c>
    </row>
    <row r="277" spans="5:9" ht="20.25" customHeight="1" x14ac:dyDescent="0.2">
      <c r="E277" s="85">
        <v>273</v>
      </c>
      <c r="F277" s="82">
        <f t="shared" si="17"/>
        <v>17986.515754582571</v>
      </c>
      <c r="G277" s="82">
        <f t="shared" si="18"/>
        <v>6389.8375034266937</v>
      </c>
      <c r="H277" s="82">
        <f t="shared" si="19"/>
        <v>11596.678251155878</v>
      </c>
      <c r="I277" s="87">
        <f t="shared" si="20"/>
        <v>1266370.822434183</v>
      </c>
    </row>
    <row r="278" spans="5:9" ht="20.25" customHeight="1" x14ac:dyDescent="0.2">
      <c r="E278" s="85">
        <v>274</v>
      </c>
      <c r="F278" s="82">
        <f t="shared" si="17"/>
        <v>17986.515754582571</v>
      </c>
      <c r="G278" s="82">
        <f t="shared" si="18"/>
        <v>6331.854112170914</v>
      </c>
      <c r="H278" s="82">
        <f t="shared" si="19"/>
        <v>11654.661642411658</v>
      </c>
      <c r="I278" s="87">
        <f t="shared" si="20"/>
        <v>1254716.1607917713</v>
      </c>
    </row>
    <row r="279" spans="5:9" ht="20.25" customHeight="1" x14ac:dyDescent="0.2">
      <c r="E279" s="85">
        <v>275</v>
      </c>
      <c r="F279" s="82">
        <f t="shared" si="17"/>
        <v>17986.515754582571</v>
      </c>
      <c r="G279" s="82">
        <f t="shared" si="18"/>
        <v>6273.5808039588555</v>
      </c>
      <c r="H279" s="82">
        <f t="shared" si="19"/>
        <v>11712.934950623716</v>
      </c>
      <c r="I279" s="87">
        <f t="shared" si="20"/>
        <v>1243003.2258411476</v>
      </c>
    </row>
    <row r="280" spans="5:9" ht="20.25" customHeight="1" x14ac:dyDescent="0.2">
      <c r="E280" s="160">
        <v>276</v>
      </c>
      <c r="F280" s="161">
        <f t="shared" si="17"/>
        <v>17986.515754582571</v>
      </c>
      <c r="G280" s="161">
        <f t="shared" si="18"/>
        <v>6215.0161292057383</v>
      </c>
      <c r="H280" s="161">
        <f t="shared" si="19"/>
        <v>11771.499625376833</v>
      </c>
      <c r="I280" s="162">
        <f t="shared" si="20"/>
        <v>1231231.7262157707</v>
      </c>
    </row>
    <row r="281" spans="5:9" ht="20.25" customHeight="1" x14ac:dyDescent="0.2">
      <c r="E281" s="85">
        <v>277</v>
      </c>
      <c r="F281" s="82">
        <f t="shared" si="17"/>
        <v>17986.515754582571</v>
      </c>
      <c r="G281" s="82">
        <f t="shared" si="18"/>
        <v>6156.1586310788525</v>
      </c>
      <c r="H281" s="82">
        <f t="shared" si="19"/>
        <v>11830.35712350372</v>
      </c>
      <c r="I281" s="87">
        <f t="shared" si="20"/>
        <v>1219401.369092267</v>
      </c>
    </row>
    <row r="282" spans="5:9" ht="20.25" customHeight="1" x14ac:dyDescent="0.2">
      <c r="E282" s="85">
        <v>278</v>
      </c>
      <c r="F282" s="82">
        <f t="shared" si="17"/>
        <v>17986.515754582571</v>
      </c>
      <c r="G282" s="82">
        <f t="shared" si="18"/>
        <v>6097.0068454613347</v>
      </c>
      <c r="H282" s="82">
        <f t="shared" si="19"/>
        <v>11889.508909121236</v>
      </c>
      <c r="I282" s="87">
        <f t="shared" si="20"/>
        <v>1207511.8601831459</v>
      </c>
    </row>
    <row r="283" spans="5:9" ht="20.25" customHeight="1" x14ac:dyDescent="0.2">
      <c r="E283" s="85">
        <v>279</v>
      </c>
      <c r="F283" s="82">
        <f t="shared" si="17"/>
        <v>17986.515754582571</v>
      </c>
      <c r="G283" s="82">
        <f t="shared" si="18"/>
        <v>6037.5593009157283</v>
      </c>
      <c r="H283" s="82">
        <f t="shared" si="19"/>
        <v>11948.956453666844</v>
      </c>
      <c r="I283" s="87">
        <f t="shared" si="20"/>
        <v>1195562.9037294791</v>
      </c>
    </row>
    <row r="284" spans="5:9" ht="20.25" customHeight="1" x14ac:dyDescent="0.2">
      <c r="E284" s="85">
        <v>280</v>
      </c>
      <c r="F284" s="82">
        <f t="shared" si="17"/>
        <v>17986.515754582571</v>
      </c>
      <c r="G284" s="82">
        <f t="shared" si="18"/>
        <v>5977.8145186473948</v>
      </c>
      <c r="H284" s="82">
        <f t="shared" si="19"/>
        <v>12008.701235935176</v>
      </c>
      <c r="I284" s="87">
        <f t="shared" si="20"/>
        <v>1183554.202493544</v>
      </c>
    </row>
    <row r="285" spans="5:9" ht="20.25" customHeight="1" x14ac:dyDescent="0.2">
      <c r="E285" s="85">
        <v>281</v>
      </c>
      <c r="F285" s="82">
        <f t="shared" si="17"/>
        <v>17986.515754582571</v>
      </c>
      <c r="G285" s="82">
        <f t="shared" si="18"/>
        <v>5917.7710124677187</v>
      </c>
      <c r="H285" s="82">
        <f t="shared" si="19"/>
        <v>12068.744742114854</v>
      </c>
      <c r="I285" s="87">
        <f t="shared" si="20"/>
        <v>1171485.4577514292</v>
      </c>
    </row>
    <row r="286" spans="5:9" ht="20.25" customHeight="1" x14ac:dyDescent="0.2">
      <c r="E286" s="85">
        <v>282</v>
      </c>
      <c r="F286" s="82">
        <f t="shared" si="17"/>
        <v>17986.515754582571</v>
      </c>
      <c r="G286" s="82">
        <f t="shared" si="18"/>
        <v>5857.427288757146</v>
      </c>
      <c r="H286" s="82">
        <f t="shared" si="19"/>
        <v>12129.088465825425</v>
      </c>
      <c r="I286" s="87">
        <f t="shared" si="20"/>
        <v>1159356.3692856038</v>
      </c>
    </row>
    <row r="287" spans="5:9" ht="20.25" customHeight="1" x14ac:dyDescent="0.2">
      <c r="E287" s="85">
        <v>283</v>
      </c>
      <c r="F287" s="82">
        <f t="shared" si="17"/>
        <v>17986.515754582571</v>
      </c>
      <c r="G287" s="82">
        <f t="shared" si="18"/>
        <v>5796.7818464280181</v>
      </c>
      <c r="H287" s="82">
        <f t="shared" si="19"/>
        <v>12189.733908154554</v>
      </c>
      <c r="I287" s="87">
        <f t="shared" si="20"/>
        <v>1147166.6353774492</v>
      </c>
    </row>
    <row r="288" spans="5:9" ht="20.25" customHeight="1" x14ac:dyDescent="0.2">
      <c r="E288" s="85">
        <v>284</v>
      </c>
      <c r="F288" s="82">
        <f t="shared" si="17"/>
        <v>17986.515754582571</v>
      </c>
      <c r="G288" s="82">
        <f t="shared" si="18"/>
        <v>5735.8331768872458</v>
      </c>
      <c r="H288" s="82">
        <f t="shared" si="19"/>
        <v>12250.682577695326</v>
      </c>
      <c r="I288" s="87">
        <f t="shared" si="20"/>
        <v>1134915.952799754</v>
      </c>
    </row>
    <row r="289" spans="5:9" ht="20.25" customHeight="1" x14ac:dyDescent="0.2">
      <c r="E289" s="85">
        <v>285</v>
      </c>
      <c r="F289" s="82">
        <f t="shared" si="17"/>
        <v>17986.515754582571</v>
      </c>
      <c r="G289" s="82">
        <f t="shared" si="18"/>
        <v>5674.5797639987695</v>
      </c>
      <c r="H289" s="82">
        <f t="shared" si="19"/>
        <v>12311.935990583803</v>
      </c>
      <c r="I289" s="87">
        <f t="shared" si="20"/>
        <v>1122604.0168091701</v>
      </c>
    </row>
    <row r="290" spans="5:9" ht="20.25" customHeight="1" x14ac:dyDescent="0.2">
      <c r="E290" s="85">
        <v>286</v>
      </c>
      <c r="F290" s="82">
        <f t="shared" si="17"/>
        <v>17986.515754582571</v>
      </c>
      <c r="G290" s="82">
        <f t="shared" si="18"/>
        <v>5613.0200840458501</v>
      </c>
      <c r="H290" s="82">
        <f t="shared" si="19"/>
        <v>12373.495670536722</v>
      </c>
      <c r="I290" s="87">
        <f t="shared" si="20"/>
        <v>1110230.5211386334</v>
      </c>
    </row>
    <row r="291" spans="5:9" ht="20.25" customHeight="1" x14ac:dyDescent="0.2">
      <c r="E291" s="85">
        <v>287</v>
      </c>
      <c r="F291" s="82">
        <f t="shared" si="17"/>
        <v>17986.515754582571</v>
      </c>
      <c r="G291" s="82">
        <f t="shared" si="18"/>
        <v>5551.1526056931662</v>
      </c>
      <c r="H291" s="82">
        <f t="shared" si="19"/>
        <v>12435.363148889406</v>
      </c>
      <c r="I291" s="87">
        <f t="shared" si="20"/>
        <v>1097795.1579897439</v>
      </c>
    </row>
    <row r="292" spans="5:9" ht="20.25" customHeight="1" x14ac:dyDescent="0.2">
      <c r="E292" s="160">
        <v>288</v>
      </c>
      <c r="F292" s="161">
        <f t="shared" si="17"/>
        <v>17986.515754582571</v>
      </c>
      <c r="G292" s="161">
        <f t="shared" si="18"/>
        <v>5488.9757899487195</v>
      </c>
      <c r="H292" s="161">
        <f t="shared" si="19"/>
        <v>12497.539964633852</v>
      </c>
      <c r="I292" s="162">
        <f t="shared" si="20"/>
        <v>1085297.6180251101</v>
      </c>
    </row>
    <row r="293" spans="5:9" ht="20.25" customHeight="1" x14ac:dyDescent="0.2">
      <c r="E293" s="85">
        <v>289</v>
      </c>
      <c r="F293" s="82">
        <f t="shared" si="17"/>
        <v>17986.515754582571</v>
      </c>
      <c r="G293" s="82">
        <f t="shared" si="18"/>
        <v>5426.4880901255501</v>
      </c>
      <c r="H293" s="82">
        <f t="shared" si="19"/>
        <v>12560.027664457022</v>
      </c>
      <c r="I293" s="87">
        <f t="shared" si="20"/>
        <v>1072737.5903606531</v>
      </c>
    </row>
    <row r="294" spans="5:9" ht="20.25" customHeight="1" x14ac:dyDescent="0.2">
      <c r="E294" s="85">
        <v>290</v>
      </c>
      <c r="F294" s="82">
        <f t="shared" si="17"/>
        <v>17986.515754582571</v>
      </c>
      <c r="G294" s="82">
        <f t="shared" si="18"/>
        <v>5363.6879518032656</v>
      </c>
      <c r="H294" s="82">
        <f t="shared" si="19"/>
        <v>12622.827802779306</v>
      </c>
      <c r="I294" s="87">
        <f t="shared" si="20"/>
        <v>1060114.7625578737</v>
      </c>
    </row>
    <row r="295" spans="5:9" ht="20.25" customHeight="1" x14ac:dyDescent="0.2">
      <c r="E295" s="85">
        <v>291</v>
      </c>
      <c r="F295" s="82">
        <f t="shared" si="17"/>
        <v>17986.515754582571</v>
      </c>
      <c r="G295" s="82">
        <f t="shared" si="18"/>
        <v>5300.5738127893683</v>
      </c>
      <c r="H295" s="82">
        <f t="shared" si="19"/>
        <v>12685.941941793204</v>
      </c>
      <c r="I295" s="87">
        <f t="shared" si="20"/>
        <v>1047428.8206160805</v>
      </c>
    </row>
    <row r="296" spans="5:9" ht="20.25" customHeight="1" x14ac:dyDescent="0.2">
      <c r="E296" s="85">
        <v>292</v>
      </c>
      <c r="F296" s="82">
        <f t="shared" si="17"/>
        <v>17986.515754582571</v>
      </c>
      <c r="G296" s="82">
        <f t="shared" si="18"/>
        <v>5237.1441030804026</v>
      </c>
      <c r="H296" s="82">
        <f t="shared" si="19"/>
        <v>12749.37165150217</v>
      </c>
      <c r="I296" s="87">
        <f t="shared" si="20"/>
        <v>1034679.4489645783</v>
      </c>
    </row>
    <row r="297" spans="5:9" ht="20.25" customHeight="1" x14ac:dyDescent="0.2">
      <c r="E297" s="85">
        <v>293</v>
      </c>
      <c r="F297" s="82">
        <f t="shared" si="17"/>
        <v>17986.515754582571</v>
      </c>
      <c r="G297" s="82">
        <f t="shared" si="18"/>
        <v>5173.3972448228915</v>
      </c>
      <c r="H297" s="82">
        <f t="shared" si="19"/>
        <v>12813.118509759679</v>
      </c>
      <c r="I297" s="87">
        <f t="shared" si="20"/>
        <v>1021866.3304548187</v>
      </c>
    </row>
    <row r="298" spans="5:9" ht="20.25" customHeight="1" x14ac:dyDescent="0.2">
      <c r="E298" s="85">
        <v>294</v>
      </c>
      <c r="F298" s="82">
        <f t="shared" si="17"/>
        <v>17986.515754582571</v>
      </c>
      <c r="G298" s="82">
        <f t="shared" si="18"/>
        <v>5109.3316522740934</v>
      </c>
      <c r="H298" s="82">
        <f t="shared" si="19"/>
        <v>12877.184102308478</v>
      </c>
      <c r="I298" s="87">
        <f t="shared" si="20"/>
        <v>1008989.1463525102</v>
      </c>
    </row>
    <row r="299" spans="5:9" ht="20.25" customHeight="1" x14ac:dyDescent="0.2">
      <c r="E299" s="85">
        <v>295</v>
      </c>
      <c r="F299" s="82">
        <f t="shared" si="17"/>
        <v>17986.515754582571</v>
      </c>
      <c r="G299" s="82">
        <f t="shared" si="18"/>
        <v>5044.9457317625511</v>
      </c>
      <c r="H299" s="82">
        <f t="shared" si="19"/>
        <v>12941.57002282002</v>
      </c>
      <c r="I299" s="87">
        <f t="shared" si="20"/>
        <v>996047.57632969017</v>
      </c>
    </row>
    <row r="300" spans="5:9" ht="20.25" customHeight="1" x14ac:dyDescent="0.2">
      <c r="E300" s="85">
        <v>296</v>
      </c>
      <c r="F300" s="82">
        <f t="shared" si="17"/>
        <v>17986.515754582571</v>
      </c>
      <c r="G300" s="82">
        <f t="shared" si="18"/>
        <v>4980.2378816484506</v>
      </c>
      <c r="H300" s="82">
        <f t="shared" si="19"/>
        <v>13006.277872934121</v>
      </c>
      <c r="I300" s="87">
        <f t="shared" si="20"/>
        <v>983041.29845675605</v>
      </c>
    </row>
    <row r="301" spans="5:9" ht="20.25" customHeight="1" x14ac:dyDescent="0.2">
      <c r="E301" s="85">
        <v>297</v>
      </c>
      <c r="F301" s="82">
        <f t="shared" si="17"/>
        <v>17986.515754582571</v>
      </c>
      <c r="G301" s="82">
        <f t="shared" si="18"/>
        <v>4915.2064922837799</v>
      </c>
      <c r="H301" s="82">
        <f t="shared" si="19"/>
        <v>13071.309262298792</v>
      </c>
      <c r="I301" s="87">
        <f t="shared" si="20"/>
        <v>969969.9891944573</v>
      </c>
    </row>
    <row r="302" spans="5:9" ht="20.25" customHeight="1" x14ac:dyDescent="0.2">
      <c r="E302" s="85">
        <v>298</v>
      </c>
      <c r="F302" s="82">
        <f t="shared" si="17"/>
        <v>17986.515754582571</v>
      </c>
      <c r="G302" s="82">
        <f t="shared" si="18"/>
        <v>4849.8499459722862</v>
      </c>
      <c r="H302" s="82">
        <f t="shared" si="19"/>
        <v>13136.665808610285</v>
      </c>
      <c r="I302" s="87">
        <f t="shared" si="20"/>
        <v>956833.32338584703</v>
      </c>
    </row>
    <row r="303" spans="5:9" ht="20.25" customHeight="1" x14ac:dyDescent="0.2">
      <c r="E303" s="85">
        <v>299</v>
      </c>
      <c r="F303" s="82">
        <f t="shared" si="17"/>
        <v>17986.515754582571</v>
      </c>
      <c r="G303" s="82">
        <f t="shared" si="18"/>
        <v>4784.1666169292348</v>
      </c>
      <c r="H303" s="82">
        <f t="shared" si="19"/>
        <v>13202.349137653337</v>
      </c>
      <c r="I303" s="87">
        <f t="shared" si="20"/>
        <v>943630.97424819367</v>
      </c>
    </row>
    <row r="304" spans="5:9" ht="20.25" customHeight="1" x14ac:dyDescent="0.2">
      <c r="E304" s="160">
        <v>300</v>
      </c>
      <c r="F304" s="161">
        <f t="shared" si="17"/>
        <v>17986.515754582571</v>
      </c>
      <c r="G304" s="161">
        <f t="shared" si="18"/>
        <v>4718.1548712409685</v>
      </c>
      <c r="H304" s="161">
        <f t="shared" si="19"/>
        <v>13268.360883341604</v>
      </c>
      <c r="I304" s="162">
        <f t="shared" si="20"/>
        <v>930362.61336485203</v>
      </c>
    </row>
    <row r="305" spans="5:9" ht="20.25" customHeight="1" x14ac:dyDescent="0.2">
      <c r="E305" s="85">
        <v>301</v>
      </c>
      <c r="F305" s="82">
        <f t="shared" si="17"/>
        <v>17986.515754582571</v>
      </c>
      <c r="G305" s="82">
        <f t="shared" si="18"/>
        <v>4651.8130668242602</v>
      </c>
      <c r="H305" s="82">
        <f t="shared" si="19"/>
        <v>13334.702687758312</v>
      </c>
      <c r="I305" s="87">
        <f t="shared" si="20"/>
        <v>917027.91067709378</v>
      </c>
    </row>
    <row r="306" spans="5:9" ht="20.25" customHeight="1" x14ac:dyDescent="0.2">
      <c r="E306" s="85">
        <v>302</v>
      </c>
      <c r="F306" s="82">
        <f t="shared" si="17"/>
        <v>17986.515754582571</v>
      </c>
      <c r="G306" s="82">
        <f t="shared" si="18"/>
        <v>4585.1395533854693</v>
      </c>
      <c r="H306" s="82">
        <f t="shared" si="19"/>
        <v>13401.376201197101</v>
      </c>
      <c r="I306" s="87">
        <f t="shared" si="20"/>
        <v>903626.53447589662</v>
      </c>
    </row>
    <row r="307" spans="5:9" ht="20.25" customHeight="1" x14ac:dyDescent="0.2">
      <c r="E307" s="85">
        <v>303</v>
      </c>
      <c r="F307" s="82">
        <f t="shared" si="17"/>
        <v>17986.515754582571</v>
      </c>
      <c r="G307" s="82">
        <f t="shared" si="18"/>
        <v>4518.1326723794828</v>
      </c>
      <c r="H307" s="82">
        <f t="shared" si="19"/>
        <v>13468.383082203089</v>
      </c>
      <c r="I307" s="87">
        <f t="shared" si="20"/>
        <v>890158.15139369352</v>
      </c>
    </row>
    <row r="308" spans="5:9" ht="20.25" customHeight="1" x14ac:dyDescent="0.2">
      <c r="E308" s="85">
        <v>304</v>
      </c>
      <c r="F308" s="82">
        <f t="shared" si="17"/>
        <v>17986.515754582571</v>
      </c>
      <c r="G308" s="82">
        <f t="shared" si="18"/>
        <v>4450.7907569684676</v>
      </c>
      <c r="H308" s="82">
        <f t="shared" si="19"/>
        <v>13535.724997614103</v>
      </c>
      <c r="I308" s="87">
        <f t="shared" si="20"/>
        <v>876622.42639607936</v>
      </c>
    </row>
    <row r="309" spans="5:9" ht="20.25" customHeight="1" x14ac:dyDescent="0.2">
      <c r="E309" s="85">
        <v>305</v>
      </c>
      <c r="F309" s="82">
        <f t="shared" si="17"/>
        <v>17986.515754582571</v>
      </c>
      <c r="G309" s="82">
        <f t="shared" si="18"/>
        <v>4383.112131980396</v>
      </c>
      <c r="H309" s="82">
        <f t="shared" si="19"/>
        <v>13603.403622602174</v>
      </c>
      <c r="I309" s="87">
        <f t="shared" si="20"/>
        <v>863019.02277347713</v>
      </c>
    </row>
    <row r="310" spans="5:9" ht="20.25" customHeight="1" x14ac:dyDescent="0.2">
      <c r="E310" s="85">
        <v>306</v>
      </c>
      <c r="F310" s="82">
        <f t="shared" si="17"/>
        <v>17986.515754582571</v>
      </c>
      <c r="G310" s="82">
        <f t="shared" si="18"/>
        <v>4315.0951138673854</v>
      </c>
      <c r="H310" s="82">
        <f t="shared" si="19"/>
        <v>13671.420640715187</v>
      </c>
      <c r="I310" s="87">
        <f t="shared" si="20"/>
        <v>849347.60213276197</v>
      </c>
    </row>
    <row r="311" spans="5:9" ht="20.25" customHeight="1" x14ac:dyDescent="0.2">
      <c r="E311" s="85">
        <v>307</v>
      </c>
      <c r="F311" s="82">
        <f t="shared" si="17"/>
        <v>17986.515754582571</v>
      </c>
      <c r="G311" s="82">
        <f t="shared" si="18"/>
        <v>4246.7380106638093</v>
      </c>
      <c r="H311" s="82">
        <f t="shared" si="19"/>
        <v>13739.777743918763</v>
      </c>
      <c r="I311" s="87">
        <f t="shared" si="20"/>
        <v>835607.82438884326</v>
      </c>
    </row>
    <row r="312" spans="5:9" ht="20.25" customHeight="1" x14ac:dyDescent="0.2">
      <c r="E312" s="85">
        <v>308</v>
      </c>
      <c r="F312" s="82">
        <f t="shared" si="17"/>
        <v>17986.515754582571</v>
      </c>
      <c r="G312" s="82">
        <f t="shared" si="18"/>
        <v>4178.0391219442163</v>
      </c>
      <c r="H312" s="82">
        <f t="shared" si="19"/>
        <v>13808.476632638354</v>
      </c>
      <c r="I312" s="87">
        <f t="shared" si="20"/>
        <v>821799.34775620489</v>
      </c>
    </row>
    <row r="313" spans="5:9" ht="20.25" customHeight="1" x14ac:dyDescent="0.2">
      <c r="E313" s="85">
        <v>309</v>
      </c>
      <c r="F313" s="82">
        <f t="shared" si="17"/>
        <v>17986.515754582571</v>
      </c>
      <c r="G313" s="82">
        <f t="shared" si="18"/>
        <v>4108.9967387810239</v>
      </c>
      <c r="H313" s="82">
        <f t="shared" si="19"/>
        <v>13877.519015801547</v>
      </c>
      <c r="I313" s="87">
        <f t="shared" si="20"/>
        <v>807921.82874040329</v>
      </c>
    </row>
    <row r="314" spans="5:9" ht="20.25" customHeight="1" x14ac:dyDescent="0.2">
      <c r="E314" s="85">
        <v>310</v>
      </c>
      <c r="F314" s="82">
        <f t="shared" si="17"/>
        <v>17986.515754582571</v>
      </c>
      <c r="G314" s="82">
        <f t="shared" si="18"/>
        <v>4039.6091437020164</v>
      </c>
      <c r="H314" s="82">
        <f t="shared" si="19"/>
        <v>13946.906610880555</v>
      </c>
      <c r="I314" s="87">
        <f t="shared" si="20"/>
        <v>793974.92212952278</v>
      </c>
    </row>
    <row r="315" spans="5:9" ht="20.25" customHeight="1" x14ac:dyDescent="0.2">
      <c r="E315" s="85">
        <v>311</v>
      </c>
      <c r="F315" s="82">
        <f t="shared" si="17"/>
        <v>17986.515754582571</v>
      </c>
      <c r="G315" s="82">
        <f t="shared" si="18"/>
        <v>3969.8746106476137</v>
      </c>
      <c r="H315" s="82">
        <f t="shared" si="19"/>
        <v>14016.641143934958</v>
      </c>
      <c r="I315" s="87">
        <f t="shared" si="20"/>
        <v>779958.28098558786</v>
      </c>
    </row>
    <row r="316" spans="5:9" ht="20.25" customHeight="1" x14ac:dyDescent="0.2">
      <c r="E316" s="160">
        <v>312</v>
      </c>
      <c r="F316" s="161">
        <f t="shared" si="17"/>
        <v>17986.515754582571</v>
      </c>
      <c r="G316" s="161">
        <f t="shared" si="18"/>
        <v>3899.7914049279389</v>
      </c>
      <c r="H316" s="161">
        <f t="shared" si="19"/>
        <v>14086.724349654633</v>
      </c>
      <c r="I316" s="162">
        <f t="shared" si="20"/>
        <v>765871.55663593323</v>
      </c>
    </row>
    <row r="317" spans="5:9" ht="20.25" customHeight="1" x14ac:dyDescent="0.2">
      <c r="E317" s="85">
        <v>313</v>
      </c>
      <c r="F317" s="82">
        <f t="shared" si="17"/>
        <v>17986.515754582571</v>
      </c>
      <c r="G317" s="82">
        <f t="shared" si="18"/>
        <v>3829.3577831796661</v>
      </c>
      <c r="H317" s="82">
        <f t="shared" si="19"/>
        <v>14157.157971402905</v>
      </c>
      <c r="I317" s="87">
        <f t="shared" si="20"/>
        <v>751714.39866453037</v>
      </c>
    </row>
    <row r="318" spans="5:9" ht="20.25" customHeight="1" x14ac:dyDescent="0.2">
      <c r="E318" s="85">
        <v>314</v>
      </c>
      <c r="F318" s="82">
        <f t="shared" si="17"/>
        <v>17986.515754582571</v>
      </c>
      <c r="G318" s="82">
        <f t="shared" si="18"/>
        <v>3758.5719933226519</v>
      </c>
      <c r="H318" s="82">
        <f t="shared" si="19"/>
        <v>14227.943761259919</v>
      </c>
      <c r="I318" s="87">
        <f t="shared" si="20"/>
        <v>737486.45490327047</v>
      </c>
    </row>
    <row r="319" spans="5:9" ht="20.25" customHeight="1" x14ac:dyDescent="0.2">
      <c r="E319" s="85">
        <v>315</v>
      </c>
      <c r="F319" s="82">
        <f t="shared" si="17"/>
        <v>17986.515754582571</v>
      </c>
      <c r="G319" s="82">
        <f t="shared" si="18"/>
        <v>3687.4322745163522</v>
      </c>
      <c r="H319" s="82">
        <f t="shared" si="19"/>
        <v>14299.08348006622</v>
      </c>
      <c r="I319" s="87">
        <f t="shared" si="20"/>
        <v>723187.3714232042</v>
      </c>
    </row>
    <row r="320" spans="5:9" ht="20.25" customHeight="1" x14ac:dyDescent="0.2">
      <c r="E320" s="85">
        <v>316</v>
      </c>
      <c r="F320" s="82">
        <f t="shared" si="17"/>
        <v>17986.515754582571</v>
      </c>
      <c r="G320" s="82">
        <f t="shared" si="18"/>
        <v>3615.9368571160207</v>
      </c>
      <c r="H320" s="82">
        <f t="shared" si="19"/>
        <v>14370.57889746655</v>
      </c>
      <c r="I320" s="87">
        <f t="shared" si="20"/>
        <v>708816.79252573766</v>
      </c>
    </row>
    <row r="321" spans="5:9" ht="20.25" customHeight="1" x14ac:dyDescent="0.2">
      <c r="E321" s="85">
        <v>317</v>
      </c>
      <c r="F321" s="82">
        <f t="shared" si="17"/>
        <v>17986.515754582571</v>
      </c>
      <c r="G321" s="82">
        <f t="shared" si="18"/>
        <v>3544.0839626286884</v>
      </c>
      <c r="H321" s="82">
        <f t="shared" si="19"/>
        <v>14442.431791953883</v>
      </c>
      <c r="I321" s="87">
        <f t="shared" si="20"/>
        <v>694374.3607337838</v>
      </c>
    </row>
    <row r="322" spans="5:9" ht="20.25" customHeight="1" x14ac:dyDescent="0.2">
      <c r="E322" s="85">
        <v>318</v>
      </c>
      <c r="F322" s="82">
        <f t="shared" si="17"/>
        <v>17986.515754582571</v>
      </c>
      <c r="G322" s="82">
        <f t="shared" si="18"/>
        <v>3471.8718036689188</v>
      </c>
      <c r="H322" s="82">
        <f t="shared" si="19"/>
        <v>14514.643950913653</v>
      </c>
      <c r="I322" s="87">
        <f t="shared" si="20"/>
        <v>679859.71678287012</v>
      </c>
    </row>
    <row r="323" spans="5:9" ht="20.25" customHeight="1" x14ac:dyDescent="0.2">
      <c r="E323" s="85">
        <v>319</v>
      </c>
      <c r="F323" s="82">
        <f t="shared" si="17"/>
        <v>17986.515754582571</v>
      </c>
      <c r="G323" s="82">
        <f t="shared" si="18"/>
        <v>3399.2985839143507</v>
      </c>
      <c r="H323" s="82">
        <f t="shared" si="19"/>
        <v>14587.21717066822</v>
      </c>
      <c r="I323" s="87">
        <f t="shared" si="20"/>
        <v>665272.49961220194</v>
      </c>
    </row>
    <row r="324" spans="5:9" ht="20.25" customHeight="1" x14ac:dyDescent="0.2">
      <c r="E324" s="85">
        <v>320</v>
      </c>
      <c r="F324" s="82">
        <f t="shared" si="17"/>
        <v>17986.515754582571</v>
      </c>
      <c r="G324" s="82">
        <f t="shared" si="18"/>
        <v>3326.3624980610093</v>
      </c>
      <c r="H324" s="82">
        <f t="shared" si="19"/>
        <v>14660.153256521562</v>
      </c>
      <c r="I324" s="87">
        <f t="shared" si="20"/>
        <v>650612.34635568038</v>
      </c>
    </row>
    <row r="325" spans="5:9" ht="20.25" customHeight="1" x14ac:dyDescent="0.2">
      <c r="E325" s="85">
        <v>321</v>
      </c>
      <c r="F325" s="82">
        <f t="shared" ref="F325:F388" si="21">IF($C$7+$C$11&gt;I324,I324*(1+$C$4/12),$C$7+$C$11)</f>
        <v>17986.515754582571</v>
      </c>
      <c r="G325" s="82">
        <f t="shared" si="18"/>
        <v>3253.0617317784017</v>
      </c>
      <c r="H325" s="82">
        <f t="shared" si="19"/>
        <v>14733.45402280417</v>
      </c>
      <c r="I325" s="87">
        <f t="shared" si="20"/>
        <v>635878.89233287622</v>
      </c>
    </row>
    <row r="326" spans="5:9" ht="20.25" customHeight="1" x14ac:dyDescent="0.2">
      <c r="E326" s="85">
        <v>322</v>
      </c>
      <c r="F326" s="82">
        <f t="shared" si="21"/>
        <v>17986.515754582571</v>
      </c>
      <c r="G326" s="82">
        <f t="shared" ref="G326:G389" si="22">I325*$C$4/12</f>
        <v>3179.3944616643807</v>
      </c>
      <c r="H326" s="82">
        <f t="shared" ref="H326:H389" si="23">F326-G326</f>
        <v>14807.121292918191</v>
      </c>
      <c r="I326" s="87">
        <f t="shared" ref="I326:I389" si="24">IF(I325-$H326&lt;0,0,I325-$H326)</f>
        <v>621071.771039958</v>
      </c>
    </row>
    <row r="327" spans="5:9" ht="20.25" customHeight="1" x14ac:dyDescent="0.2">
      <c r="E327" s="85">
        <v>323</v>
      </c>
      <c r="F327" s="82">
        <f t="shared" si="21"/>
        <v>17986.515754582571</v>
      </c>
      <c r="G327" s="82">
        <f t="shared" si="22"/>
        <v>3105.3588551997896</v>
      </c>
      <c r="H327" s="82">
        <f t="shared" si="23"/>
        <v>14881.156899382782</v>
      </c>
      <c r="I327" s="87">
        <f t="shared" si="24"/>
        <v>606190.61414057517</v>
      </c>
    </row>
    <row r="328" spans="5:9" ht="20.25" customHeight="1" x14ac:dyDescent="0.2">
      <c r="E328" s="160">
        <v>324</v>
      </c>
      <c r="F328" s="161">
        <f t="shared" si="21"/>
        <v>17986.515754582571</v>
      </c>
      <c r="G328" s="161">
        <f t="shared" si="22"/>
        <v>3030.9530707028757</v>
      </c>
      <c r="H328" s="161">
        <f t="shared" si="23"/>
        <v>14955.562683879696</v>
      </c>
      <c r="I328" s="162">
        <f t="shared" si="24"/>
        <v>591235.05145669542</v>
      </c>
    </row>
    <row r="329" spans="5:9" ht="20.25" customHeight="1" x14ac:dyDescent="0.2">
      <c r="E329" s="85">
        <v>325</v>
      </c>
      <c r="F329" s="82">
        <f t="shared" si="21"/>
        <v>17986.515754582571</v>
      </c>
      <c r="G329" s="82">
        <f t="shared" si="22"/>
        <v>2956.1752572834771</v>
      </c>
      <c r="H329" s="82">
        <f t="shared" si="23"/>
        <v>15030.340497299094</v>
      </c>
      <c r="I329" s="87">
        <f t="shared" si="24"/>
        <v>576204.71095939633</v>
      </c>
    </row>
    <row r="330" spans="5:9" ht="20.25" customHeight="1" x14ac:dyDescent="0.2">
      <c r="E330" s="85">
        <v>326</v>
      </c>
      <c r="F330" s="82">
        <f t="shared" si="21"/>
        <v>17986.515754582571</v>
      </c>
      <c r="G330" s="82">
        <f t="shared" si="22"/>
        <v>2881.0235547969819</v>
      </c>
      <c r="H330" s="82">
        <f t="shared" si="23"/>
        <v>15105.492199785589</v>
      </c>
      <c r="I330" s="87">
        <f t="shared" si="24"/>
        <v>561099.21875961078</v>
      </c>
    </row>
    <row r="331" spans="5:9" ht="20.25" customHeight="1" x14ac:dyDescent="0.2">
      <c r="E331" s="85">
        <v>327</v>
      </c>
      <c r="F331" s="82">
        <f t="shared" si="21"/>
        <v>17986.515754582571</v>
      </c>
      <c r="G331" s="82">
        <f t="shared" si="22"/>
        <v>2805.4960937980541</v>
      </c>
      <c r="H331" s="82">
        <f t="shared" si="23"/>
        <v>15181.019660784517</v>
      </c>
      <c r="I331" s="87">
        <f t="shared" si="24"/>
        <v>545918.19909882627</v>
      </c>
    </row>
    <row r="332" spans="5:9" ht="20.25" customHeight="1" x14ac:dyDescent="0.2">
      <c r="E332" s="85">
        <v>328</v>
      </c>
      <c r="F332" s="82">
        <f t="shared" si="21"/>
        <v>17986.515754582571</v>
      </c>
      <c r="G332" s="82">
        <f t="shared" si="22"/>
        <v>2729.5909954941312</v>
      </c>
      <c r="H332" s="82">
        <f t="shared" si="23"/>
        <v>15256.924759088441</v>
      </c>
      <c r="I332" s="87">
        <f t="shared" si="24"/>
        <v>530661.27433973784</v>
      </c>
    </row>
    <row r="333" spans="5:9" ht="20.25" customHeight="1" x14ac:dyDescent="0.2">
      <c r="E333" s="85">
        <v>329</v>
      </c>
      <c r="F333" s="82">
        <f t="shared" si="21"/>
        <v>17986.515754582571</v>
      </c>
      <c r="G333" s="82">
        <f t="shared" si="22"/>
        <v>2653.306371698689</v>
      </c>
      <c r="H333" s="82">
        <f t="shared" si="23"/>
        <v>15333.209382883882</v>
      </c>
      <c r="I333" s="87">
        <f t="shared" si="24"/>
        <v>515328.06495685398</v>
      </c>
    </row>
    <row r="334" spans="5:9" ht="20.25" customHeight="1" x14ac:dyDescent="0.2">
      <c r="E334" s="85">
        <v>330</v>
      </c>
      <c r="F334" s="82">
        <f t="shared" si="21"/>
        <v>17986.515754582571</v>
      </c>
      <c r="G334" s="82">
        <f t="shared" si="22"/>
        <v>2576.6403247842695</v>
      </c>
      <c r="H334" s="82">
        <f t="shared" si="23"/>
        <v>15409.875429798301</v>
      </c>
      <c r="I334" s="87">
        <f t="shared" si="24"/>
        <v>499918.18952705566</v>
      </c>
    </row>
    <row r="335" spans="5:9" ht="20.25" customHeight="1" x14ac:dyDescent="0.2">
      <c r="E335" s="85">
        <v>331</v>
      </c>
      <c r="F335" s="82">
        <f t="shared" si="21"/>
        <v>17986.515754582571</v>
      </c>
      <c r="G335" s="82">
        <f t="shared" si="22"/>
        <v>2499.5909476352781</v>
      </c>
      <c r="H335" s="82">
        <f t="shared" si="23"/>
        <v>15486.924806947292</v>
      </c>
      <c r="I335" s="87">
        <f t="shared" si="24"/>
        <v>484431.26472010836</v>
      </c>
    </row>
    <row r="336" spans="5:9" ht="20.25" customHeight="1" x14ac:dyDescent="0.2">
      <c r="E336" s="85">
        <v>332</v>
      </c>
      <c r="F336" s="82">
        <f t="shared" si="21"/>
        <v>17986.515754582571</v>
      </c>
      <c r="G336" s="82">
        <f t="shared" si="22"/>
        <v>2422.1563236005418</v>
      </c>
      <c r="H336" s="82">
        <f t="shared" si="23"/>
        <v>15564.359430982029</v>
      </c>
      <c r="I336" s="87">
        <f t="shared" si="24"/>
        <v>468866.90528912633</v>
      </c>
    </row>
    <row r="337" spans="5:9" ht="20.25" customHeight="1" x14ac:dyDescent="0.2">
      <c r="E337" s="85">
        <v>333</v>
      </c>
      <c r="F337" s="82">
        <f t="shared" si="21"/>
        <v>17986.515754582571</v>
      </c>
      <c r="G337" s="82">
        <f t="shared" si="22"/>
        <v>2344.3345264456316</v>
      </c>
      <c r="H337" s="82">
        <f t="shared" si="23"/>
        <v>15642.18122813694</v>
      </c>
      <c r="I337" s="87">
        <f t="shared" si="24"/>
        <v>453224.72406098939</v>
      </c>
    </row>
    <row r="338" spans="5:9" ht="20.25" customHeight="1" x14ac:dyDescent="0.2">
      <c r="E338" s="85">
        <v>334</v>
      </c>
      <c r="F338" s="82">
        <f t="shared" si="21"/>
        <v>17986.515754582571</v>
      </c>
      <c r="G338" s="82">
        <f t="shared" si="22"/>
        <v>2266.1236203049471</v>
      </c>
      <c r="H338" s="82">
        <f t="shared" si="23"/>
        <v>15720.392134277625</v>
      </c>
      <c r="I338" s="87">
        <f t="shared" si="24"/>
        <v>437504.33192671178</v>
      </c>
    </row>
    <row r="339" spans="5:9" ht="20.25" customHeight="1" x14ac:dyDescent="0.2">
      <c r="E339" s="85">
        <v>335</v>
      </c>
      <c r="F339" s="82">
        <f t="shared" si="21"/>
        <v>17986.515754582571</v>
      </c>
      <c r="G339" s="82">
        <f t="shared" si="22"/>
        <v>2187.521659633559</v>
      </c>
      <c r="H339" s="82">
        <f t="shared" si="23"/>
        <v>15798.994094949012</v>
      </c>
      <c r="I339" s="87">
        <f t="shared" si="24"/>
        <v>421705.33783176274</v>
      </c>
    </row>
    <row r="340" spans="5:9" ht="20.25" customHeight="1" x14ac:dyDescent="0.2">
      <c r="E340" s="160">
        <v>336</v>
      </c>
      <c r="F340" s="161">
        <f t="shared" si="21"/>
        <v>17986.515754582571</v>
      </c>
      <c r="G340" s="161">
        <f t="shared" si="22"/>
        <v>2108.5266891588135</v>
      </c>
      <c r="H340" s="161">
        <f t="shared" si="23"/>
        <v>15877.989065423757</v>
      </c>
      <c r="I340" s="162">
        <f t="shared" si="24"/>
        <v>405827.34876633895</v>
      </c>
    </row>
    <row r="341" spans="5:9" ht="20.25" customHeight="1" x14ac:dyDescent="0.2">
      <c r="E341" s="85">
        <v>337</v>
      </c>
      <c r="F341" s="82">
        <f t="shared" si="21"/>
        <v>17986.515754582571</v>
      </c>
      <c r="G341" s="82">
        <f t="shared" si="22"/>
        <v>2029.1367438316947</v>
      </c>
      <c r="H341" s="82">
        <f t="shared" si="23"/>
        <v>15957.379010750876</v>
      </c>
      <c r="I341" s="87">
        <f t="shared" si="24"/>
        <v>389869.9697555881</v>
      </c>
    </row>
    <row r="342" spans="5:9" ht="20.25" customHeight="1" x14ac:dyDescent="0.2">
      <c r="E342" s="85">
        <v>338</v>
      </c>
      <c r="F342" s="82">
        <f t="shared" si="21"/>
        <v>17986.515754582571</v>
      </c>
      <c r="G342" s="82">
        <f t="shared" si="22"/>
        <v>1949.3498487779405</v>
      </c>
      <c r="H342" s="82">
        <f t="shared" si="23"/>
        <v>16037.165905804632</v>
      </c>
      <c r="I342" s="87">
        <f t="shared" si="24"/>
        <v>373832.80384978349</v>
      </c>
    </row>
    <row r="343" spans="5:9" ht="20.25" customHeight="1" x14ac:dyDescent="0.2">
      <c r="E343" s="85">
        <v>339</v>
      </c>
      <c r="F343" s="82">
        <f t="shared" si="21"/>
        <v>17986.515754582571</v>
      </c>
      <c r="G343" s="82">
        <f t="shared" si="22"/>
        <v>1869.1640192489174</v>
      </c>
      <c r="H343" s="82">
        <f t="shared" si="23"/>
        <v>16117.351735333654</v>
      </c>
      <c r="I343" s="87">
        <f t="shared" si="24"/>
        <v>357715.45211444981</v>
      </c>
    </row>
    <row r="344" spans="5:9" ht="20.25" customHeight="1" x14ac:dyDescent="0.2">
      <c r="E344" s="85">
        <v>340</v>
      </c>
      <c r="F344" s="82">
        <f t="shared" si="21"/>
        <v>17986.515754582571</v>
      </c>
      <c r="G344" s="82">
        <f t="shared" si="22"/>
        <v>1788.5772605722489</v>
      </c>
      <c r="H344" s="82">
        <f t="shared" si="23"/>
        <v>16197.938494010323</v>
      </c>
      <c r="I344" s="87">
        <f t="shared" si="24"/>
        <v>341517.51362043951</v>
      </c>
    </row>
    <row r="345" spans="5:9" ht="20.25" customHeight="1" x14ac:dyDescent="0.2">
      <c r="E345" s="85">
        <v>341</v>
      </c>
      <c r="F345" s="82">
        <f t="shared" si="21"/>
        <v>17986.515754582571</v>
      </c>
      <c r="G345" s="82">
        <f t="shared" si="22"/>
        <v>1707.5875681021973</v>
      </c>
      <c r="H345" s="82">
        <f t="shared" si="23"/>
        <v>16278.928186480374</v>
      </c>
      <c r="I345" s="87">
        <f t="shared" si="24"/>
        <v>325238.58543395915</v>
      </c>
    </row>
    <row r="346" spans="5:9" ht="20.25" customHeight="1" x14ac:dyDescent="0.2">
      <c r="E346" s="85">
        <v>342</v>
      </c>
      <c r="F346" s="82">
        <f t="shared" si="21"/>
        <v>17986.515754582571</v>
      </c>
      <c r="G346" s="82">
        <f t="shared" si="22"/>
        <v>1626.1929271697957</v>
      </c>
      <c r="H346" s="82">
        <f t="shared" si="23"/>
        <v>16360.322827412776</v>
      </c>
      <c r="I346" s="87">
        <f t="shared" si="24"/>
        <v>308878.2626065464</v>
      </c>
    </row>
    <row r="347" spans="5:9" ht="20.25" customHeight="1" x14ac:dyDescent="0.2">
      <c r="E347" s="85">
        <v>343</v>
      </c>
      <c r="F347" s="82">
        <f t="shared" si="21"/>
        <v>17986.515754582571</v>
      </c>
      <c r="G347" s="82">
        <f t="shared" si="22"/>
        <v>1544.3913130327319</v>
      </c>
      <c r="H347" s="82">
        <f t="shared" si="23"/>
        <v>16442.12444154984</v>
      </c>
      <c r="I347" s="87">
        <f t="shared" si="24"/>
        <v>292436.13816499658</v>
      </c>
    </row>
    <row r="348" spans="5:9" ht="20.25" customHeight="1" x14ac:dyDescent="0.2">
      <c r="E348" s="85">
        <v>344</v>
      </c>
      <c r="F348" s="82">
        <f t="shared" si="21"/>
        <v>17986.515754582571</v>
      </c>
      <c r="G348" s="82">
        <f t="shared" si="22"/>
        <v>1462.1806908249828</v>
      </c>
      <c r="H348" s="82">
        <f t="shared" si="23"/>
        <v>16524.33506375759</v>
      </c>
      <c r="I348" s="87">
        <f t="shared" si="24"/>
        <v>275911.80310123897</v>
      </c>
    </row>
    <row r="349" spans="5:9" ht="20.25" customHeight="1" x14ac:dyDescent="0.2">
      <c r="E349" s="85">
        <v>345</v>
      </c>
      <c r="F349" s="82">
        <f t="shared" si="21"/>
        <v>17986.515754582571</v>
      </c>
      <c r="G349" s="82">
        <f t="shared" si="22"/>
        <v>1379.5590155061948</v>
      </c>
      <c r="H349" s="82">
        <f t="shared" si="23"/>
        <v>16606.956739076377</v>
      </c>
      <c r="I349" s="87">
        <f t="shared" si="24"/>
        <v>259304.84636216259</v>
      </c>
    </row>
    <row r="350" spans="5:9" ht="20.25" customHeight="1" x14ac:dyDescent="0.2">
      <c r="E350" s="85">
        <v>346</v>
      </c>
      <c r="F350" s="82">
        <f t="shared" si="21"/>
        <v>17986.515754582571</v>
      </c>
      <c r="G350" s="82">
        <f t="shared" si="22"/>
        <v>1296.5242318108128</v>
      </c>
      <c r="H350" s="82">
        <f t="shared" si="23"/>
        <v>16689.991522771757</v>
      </c>
      <c r="I350" s="87">
        <f t="shared" si="24"/>
        <v>242614.85483939084</v>
      </c>
    </row>
    <row r="351" spans="5:9" ht="20.25" customHeight="1" x14ac:dyDescent="0.2">
      <c r="E351" s="85">
        <v>347</v>
      </c>
      <c r="F351" s="82">
        <f t="shared" si="21"/>
        <v>17986.515754582571</v>
      </c>
      <c r="G351" s="82">
        <f t="shared" si="22"/>
        <v>1213.0742741969541</v>
      </c>
      <c r="H351" s="82">
        <f t="shared" si="23"/>
        <v>16773.441480385616</v>
      </c>
      <c r="I351" s="87">
        <f t="shared" si="24"/>
        <v>225841.41335900524</v>
      </c>
    </row>
    <row r="352" spans="5:9" ht="20.25" customHeight="1" x14ac:dyDescent="0.2">
      <c r="E352" s="160">
        <v>348</v>
      </c>
      <c r="F352" s="161">
        <f t="shared" si="21"/>
        <v>17986.515754582571</v>
      </c>
      <c r="G352" s="161">
        <f t="shared" si="22"/>
        <v>1129.2070667950261</v>
      </c>
      <c r="H352" s="161">
        <f t="shared" si="23"/>
        <v>16857.308687787547</v>
      </c>
      <c r="I352" s="162">
        <f t="shared" si="24"/>
        <v>208984.10467121768</v>
      </c>
    </row>
    <row r="353" spans="5:9" ht="20.25" customHeight="1" x14ac:dyDescent="0.2">
      <c r="E353" s="85">
        <v>349</v>
      </c>
      <c r="F353" s="82">
        <f t="shared" si="21"/>
        <v>17986.515754582571</v>
      </c>
      <c r="G353" s="82">
        <f t="shared" si="22"/>
        <v>1044.9205233560883</v>
      </c>
      <c r="H353" s="82">
        <f t="shared" si="23"/>
        <v>16941.595231226482</v>
      </c>
      <c r="I353" s="87">
        <f t="shared" si="24"/>
        <v>192042.5094399912</v>
      </c>
    </row>
    <row r="354" spans="5:9" ht="20.25" customHeight="1" x14ac:dyDescent="0.2">
      <c r="E354" s="85">
        <v>350</v>
      </c>
      <c r="F354" s="82">
        <f t="shared" si="21"/>
        <v>17986.515754582571</v>
      </c>
      <c r="G354" s="82">
        <f t="shared" si="22"/>
        <v>960.21254719995602</v>
      </c>
      <c r="H354" s="82">
        <f t="shared" si="23"/>
        <v>17026.303207382614</v>
      </c>
      <c r="I354" s="87">
        <f t="shared" si="24"/>
        <v>175016.20623260859</v>
      </c>
    </row>
    <row r="355" spans="5:9" ht="20.25" customHeight="1" x14ac:dyDescent="0.2">
      <c r="E355" s="85">
        <v>351</v>
      </c>
      <c r="F355" s="82">
        <f t="shared" si="21"/>
        <v>17986.515754582571</v>
      </c>
      <c r="G355" s="82">
        <f t="shared" si="22"/>
        <v>875.08103116304289</v>
      </c>
      <c r="H355" s="82">
        <f t="shared" si="23"/>
        <v>17111.43472341953</v>
      </c>
      <c r="I355" s="87">
        <f t="shared" si="24"/>
        <v>157904.77150918904</v>
      </c>
    </row>
    <row r="356" spans="5:9" ht="20.25" customHeight="1" x14ac:dyDescent="0.2">
      <c r="E356" s="85">
        <v>352</v>
      </c>
      <c r="F356" s="82">
        <f t="shared" si="21"/>
        <v>17986.515754582571</v>
      </c>
      <c r="G356" s="82">
        <f t="shared" si="22"/>
        <v>789.52385754594525</v>
      </c>
      <c r="H356" s="82">
        <f t="shared" si="23"/>
        <v>17196.991897036627</v>
      </c>
      <c r="I356" s="87">
        <f t="shared" si="24"/>
        <v>140707.77961215243</v>
      </c>
    </row>
    <row r="357" spans="5:9" ht="20.25" customHeight="1" x14ac:dyDescent="0.2">
      <c r="E357" s="85">
        <v>353</v>
      </c>
      <c r="F357" s="82">
        <f t="shared" si="21"/>
        <v>17986.515754582571</v>
      </c>
      <c r="G357" s="82">
        <f t="shared" si="22"/>
        <v>703.53889806076211</v>
      </c>
      <c r="H357" s="82">
        <f t="shared" si="23"/>
        <v>17282.976856521811</v>
      </c>
      <c r="I357" s="87">
        <f t="shared" si="24"/>
        <v>123424.80275563062</v>
      </c>
    </row>
    <row r="358" spans="5:9" ht="20.25" customHeight="1" x14ac:dyDescent="0.2">
      <c r="E358" s="85">
        <v>354</v>
      </c>
      <c r="F358" s="82">
        <f t="shared" si="21"/>
        <v>17986.515754582571</v>
      </c>
      <c r="G358" s="82">
        <f t="shared" si="22"/>
        <v>617.12401377815308</v>
      </c>
      <c r="H358" s="82">
        <f t="shared" si="23"/>
        <v>17369.391740804418</v>
      </c>
      <c r="I358" s="87">
        <f t="shared" si="24"/>
        <v>106055.4110148262</v>
      </c>
    </row>
    <row r="359" spans="5:9" ht="20.25" customHeight="1" x14ac:dyDescent="0.2">
      <c r="E359" s="85">
        <v>355</v>
      </c>
      <c r="F359" s="82">
        <f t="shared" si="21"/>
        <v>17986.515754582571</v>
      </c>
      <c r="G359" s="82">
        <f t="shared" si="22"/>
        <v>530.277055074131</v>
      </c>
      <c r="H359" s="82">
        <f t="shared" si="23"/>
        <v>17456.238699508442</v>
      </c>
      <c r="I359" s="87">
        <f t="shared" si="24"/>
        <v>88599.172315317759</v>
      </c>
    </row>
    <row r="360" spans="5:9" ht="20.25" customHeight="1" x14ac:dyDescent="0.2">
      <c r="E360" s="85">
        <v>356</v>
      </c>
      <c r="F360" s="82">
        <f t="shared" si="21"/>
        <v>17986.515754582571</v>
      </c>
      <c r="G360" s="82">
        <f t="shared" si="22"/>
        <v>442.99586157658877</v>
      </c>
      <c r="H360" s="82">
        <f t="shared" si="23"/>
        <v>17543.519893005981</v>
      </c>
      <c r="I360" s="87">
        <f t="shared" si="24"/>
        <v>71055.652422311774</v>
      </c>
    </row>
    <row r="361" spans="5:9" ht="20.25" customHeight="1" x14ac:dyDescent="0.2">
      <c r="E361" s="85">
        <v>357</v>
      </c>
      <c r="F361" s="82">
        <f t="shared" si="21"/>
        <v>17986.515754582571</v>
      </c>
      <c r="G361" s="82">
        <f t="shared" si="22"/>
        <v>355.27826211155889</v>
      </c>
      <c r="H361" s="82">
        <f t="shared" si="23"/>
        <v>17631.237492471013</v>
      </c>
      <c r="I361" s="87">
        <f t="shared" si="24"/>
        <v>53424.414929840757</v>
      </c>
    </row>
    <row r="362" spans="5:9" ht="20.25" customHeight="1" x14ac:dyDescent="0.2">
      <c r="E362" s="85">
        <v>358</v>
      </c>
      <c r="F362" s="82">
        <f t="shared" si="21"/>
        <v>17986.515754582571</v>
      </c>
      <c r="G362" s="82">
        <f t="shared" si="22"/>
        <v>267.12207464920374</v>
      </c>
      <c r="H362" s="82">
        <f t="shared" si="23"/>
        <v>17719.393679933368</v>
      </c>
      <c r="I362" s="87">
        <f t="shared" si="24"/>
        <v>35705.02124990739</v>
      </c>
    </row>
    <row r="363" spans="5:9" ht="20.25" customHeight="1" x14ac:dyDescent="0.2">
      <c r="E363" s="85">
        <v>359</v>
      </c>
      <c r="F363" s="82">
        <f t="shared" si="21"/>
        <v>17986.515754582571</v>
      </c>
      <c r="G363" s="82">
        <f t="shared" si="22"/>
        <v>178.52510624953695</v>
      </c>
      <c r="H363" s="82">
        <f t="shared" si="23"/>
        <v>17807.990648333034</v>
      </c>
      <c r="I363" s="87">
        <f t="shared" si="24"/>
        <v>17897.030601574355</v>
      </c>
    </row>
    <row r="364" spans="5:9" ht="20.25" customHeight="1" x14ac:dyDescent="0.2">
      <c r="E364" s="160">
        <v>360</v>
      </c>
      <c r="F364" s="161">
        <f t="shared" si="21"/>
        <v>17986.515754582226</v>
      </c>
      <c r="G364" s="161">
        <f t="shared" si="22"/>
        <v>89.485153007871773</v>
      </c>
      <c r="H364" s="161">
        <f t="shared" si="23"/>
        <v>17897.030601574355</v>
      </c>
      <c r="I364" s="162">
        <f t="shared" si="24"/>
        <v>0</v>
      </c>
    </row>
    <row r="365" spans="5:9" ht="20.25" customHeight="1" x14ac:dyDescent="0.2">
      <c r="E365" s="85">
        <v>361</v>
      </c>
      <c r="F365" s="82">
        <f t="shared" si="21"/>
        <v>0</v>
      </c>
      <c r="G365" s="82">
        <f t="shared" si="22"/>
        <v>0</v>
      </c>
      <c r="H365" s="82">
        <f t="shared" si="23"/>
        <v>0</v>
      </c>
      <c r="I365" s="87">
        <f t="shared" si="24"/>
        <v>0</v>
      </c>
    </row>
    <row r="366" spans="5:9" ht="20.25" customHeight="1" x14ac:dyDescent="0.2">
      <c r="E366" s="85">
        <v>362</v>
      </c>
      <c r="F366" s="82">
        <f t="shared" si="21"/>
        <v>0</v>
      </c>
      <c r="G366" s="82">
        <f t="shared" si="22"/>
        <v>0</v>
      </c>
      <c r="H366" s="82">
        <f t="shared" si="23"/>
        <v>0</v>
      </c>
      <c r="I366" s="87">
        <f t="shared" si="24"/>
        <v>0</v>
      </c>
    </row>
    <row r="367" spans="5:9" ht="20.25" customHeight="1" x14ac:dyDescent="0.2">
      <c r="E367" s="85">
        <v>363</v>
      </c>
      <c r="F367" s="82">
        <f t="shared" si="21"/>
        <v>0</v>
      </c>
      <c r="G367" s="82">
        <f t="shared" si="22"/>
        <v>0</v>
      </c>
      <c r="H367" s="82">
        <f t="shared" si="23"/>
        <v>0</v>
      </c>
      <c r="I367" s="87">
        <f t="shared" si="24"/>
        <v>0</v>
      </c>
    </row>
    <row r="368" spans="5:9" ht="20.25" customHeight="1" x14ac:dyDescent="0.2">
      <c r="E368" s="85">
        <v>364</v>
      </c>
      <c r="F368" s="82">
        <f t="shared" si="21"/>
        <v>0</v>
      </c>
      <c r="G368" s="82">
        <f t="shared" si="22"/>
        <v>0</v>
      </c>
      <c r="H368" s="82">
        <f t="shared" si="23"/>
        <v>0</v>
      </c>
      <c r="I368" s="87">
        <f t="shared" si="24"/>
        <v>0</v>
      </c>
    </row>
    <row r="369" spans="5:9" ht="20.25" customHeight="1" x14ac:dyDescent="0.2">
      <c r="E369" s="85">
        <v>365</v>
      </c>
      <c r="F369" s="82">
        <f t="shared" si="21"/>
        <v>0</v>
      </c>
      <c r="G369" s="82">
        <f t="shared" si="22"/>
        <v>0</v>
      </c>
      <c r="H369" s="82">
        <f t="shared" si="23"/>
        <v>0</v>
      </c>
      <c r="I369" s="87">
        <f t="shared" si="24"/>
        <v>0</v>
      </c>
    </row>
    <row r="370" spans="5:9" ht="20.25" customHeight="1" x14ac:dyDescent="0.2">
      <c r="E370" s="85">
        <v>366</v>
      </c>
      <c r="F370" s="82">
        <f t="shared" si="21"/>
        <v>0</v>
      </c>
      <c r="G370" s="82">
        <f t="shared" si="22"/>
        <v>0</v>
      </c>
      <c r="H370" s="82">
        <f t="shared" si="23"/>
        <v>0</v>
      </c>
      <c r="I370" s="87">
        <f t="shared" si="24"/>
        <v>0</v>
      </c>
    </row>
    <row r="371" spans="5:9" ht="20.25" customHeight="1" x14ac:dyDescent="0.2">
      <c r="E371" s="85">
        <v>367</v>
      </c>
      <c r="F371" s="82">
        <f t="shared" si="21"/>
        <v>0</v>
      </c>
      <c r="G371" s="82">
        <f t="shared" si="22"/>
        <v>0</v>
      </c>
      <c r="H371" s="82">
        <f t="shared" si="23"/>
        <v>0</v>
      </c>
      <c r="I371" s="87">
        <f t="shared" si="24"/>
        <v>0</v>
      </c>
    </row>
    <row r="372" spans="5:9" ht="20.25" customHeight="1" x14ac:dyDescent="0.2">
      <c r="E372" s="85">
        <v>368</v>
      </c>
      <c r="F372" s="82">
        <f t="shared" si="21"/>
        <v>0</v>
      </c>
      <c r="G372" s="82">
        <f t="shared" si="22"/>
        <v>0</v>
      </c>
      <c r="H372" s="82">
        <f t="shared" si="23"/>
        <v>0</v>
      </c>
      <c r="I372" s="87">
        <f t="shared" si="24"/>
        <v>0</v>
      </c>
    </row>
    <row r="373" spans="5:9" ht="20.25" customHeight="1" x14ac:dyDescent="0.2">
      <c r="E373" s="85">
        <v>369</v>
      </c>
      <c r="F373" s="82">
        <f t="shared" si="21"/>
        <v>0</v>
      </c>
      <c r="G373" s="82">
        <f t="shared" si="22"/>
        <v>0</v>
      </c>
      <c r="H373" s="82">
        <f t="shared" si="23"/>
        <v>0</v>
      </c>
      <c r="I373" s="87">
        <f t="shared" si="24"/>
        <v>0</v>
      </c>
    </row>
    <row r="374" spans="5:9" ht="20.25" customHeight="1" x14ac:dyDescent="0.2">
      <c r="E374" s="85">
        <v>370</v>
      </c>
      <c r="F374" s="82">
        <f t="shared" si="21"/>
        <v>0</v>
      </c>
      <c r="G374" s="82">
        <f t="shared" si="22"/>
        <v>0</v>
      </c>
      <c r="H374" s="82">
        <f t="shared" si="23"/>
        <v>0</v>
      </c>
      <c r="I374" s="87">
        <f t="shared" si="24"/>
        <v>0</v>
      </c>
    </row>
    <row r="375" spans="5:9" ht="20.25" customHeight="1" x14ac:dyDescent="0.2">
      <c r="E375" s="85">
        <v>371</v>
      </c>
      <c r="F375" s="82">
        <f t="shared" si="21"/>
        <v>0</v>
      </c>
      <c r="G375" s="82">
        <f t="shared" si="22"/>
        <v>0</v>
      </c>
      <c r="H375" s="82">
        <f t="shared" si="23"/>
        <v>0</v>
      </c>
      <c r="I375" s="87">
        <f t="shared" si="24"/>
        <v>0</v>
      </c>
    </row>
    <row r="376" spans="5:9" ht="20.25" customHeight="1" x14ac:dyDescent="0.2">
      <c r="E376" s="160">
        <v>372</v>
      </c>
      <c r="F376" s="161">
        <f t="shared" si="21"/>
        <v>0</v>
      </c>
      <c r="G376" s="161">
        <f t="shared" si="22"/>
        <v>0</v>
      </c>
      <c r="H376" s="161">
        <f t="shared" si="23"/>
        <v>0</v>
      </c>
      <c r="I376" s="162">
        <f t="shared" si="24"/>
        <v>0</v>
      </c>
    </row>
    <row r="377" spans="5:9" ht="20.25" customHeight="1" x14ac:dyDescent="0.2">
      <c r="E377" s="85">
        <v>373</v>
      </c>
      <c r="F377" s="82">
        <f t="shared" si="21"/>
        <v>0</v>
      </c>
      <c r="G377" s="82">
        <f t="shared" si="22"/>
        <v>0</v>
      </c>
      <c r="H377" s="82">
        <f t="shared" si="23"/>
        <v>0</v>
      </c>
      <c r="I377" s="87">
        <f t="shared" si="24"/>
        <v>0</v>
      </c>
    </row>
    <row r="378" spans="5:9" ht="20.25" customHeight="1" x14ac:dyDescent="0.2">
      <c r="E378" s="85">
        <v>374</v>
      </c>
      <c r="F378" s="82">
        <f t="shared" si="21"/>
        <v>0</v>
      </c>
      <c r="G378" s="82">
        <f t="shared" si="22"/>
        <v>0</v>
      </c>
      <c r="H378" s="82">
        <f t="shared" si="23"/>
        <v>0</v>
      </c>
      <c r="I378" s="87">
        <f t="shared" si="24"/>
        <v>0</v>
      </c>
    </row>
    <row r="379" spans="5:9" ht="20.25" customHeight="1" x14ac:dyDescent="0.2">
      <c r="E379" s="85">
        <v>375</v>
      </c>
      <c r="F379" s="82">
        <f t="shared" si="21"/>
        <v>0</v>
      </c>
      <c r="G379" s="82">
        <f t="shared" si="22"/>
        <v>0</v>
      </c>
      <c r="H379" s="82">
        <f t="shared" si="23"/>
        <v>0</v>
      </c>
      <c r="I379" s="87">
        <f t="shared" si="24"/>
        <v>0</v>
      </c>
    </row>
    <row r="380" spans="5:9" ht="20.25" customHeight="1" x14ac:dyDescent="0.2">
      <c r="E380" s="85">
        <v>376</v>
      </c>
      <c r="F380" s="82">
        <f t="shared" si="21"/>
        <v>0</v>
      </c>
      <c r="G380" s="82">
        <f t="shared" si="22"/>
        <v>0</v>
      </c>
      <c r="H380" s="82">
        <f t="shared" si="23"/>
        <v>0</v>
      </c>
      <c r="I380" s="87">
        <f t="shared" si="24"/>
        <v>0</v>
      </c>
    </row>
    <row r="381" spans="5:9" ht="20.25" customHeight="1" x14ac:dyDescent="0.2">
      <c r="E381" s="85">
        <v>377</v>
      </c>
      <c r="F381" s="82">
        <f t="shared" si="21"/>
        <v>0</v>
      </c>
      <c r="G381" s="82">
        <f t="shared" si="22"/>
        <v>0</v>
      </c>
      <c r="H381" s="82">
        <f t="shared" si="23"/>
        <v>0</v>
      </c>
      <c r="I381" s="87">
        <f t="shared" si="24"/>
        <v>0</v>
      </c>
    </row>
    <row r="382" spans="5:9" ht="20.25" customHeight="1" x14ac:dyDescent="0.2">
      <c r="E382" s="85">
        <v>378</v>
      </c>
      <c r="F382" s="82">
        <f t="shared" si="21"/>
        <v>0</v>
      </c>
      <c r="G382" s="82">
        <f t="shared" si="22"/>
        <v>0</v>
      </c>
      <c r="H382" s="82">
        <f t="shared" si="23"/>
        <v>0</v>
      </c>
      <c r="I382" s="87">
        <f t="shared" si="24"/>
        <v>0</v>
      </c>
    </row>
    <row r="383" spans="5:9" ht="20.25" customHeight="1" x14ac:dyDescent="0.2">
      <c r="E383" s="85">
        <v>379</v>
      </c>
      <c r="F383" s="82">
        <f t="shared" si="21"/>
        <v>0</v>
      </c>
      <c r="G383" s="82">
        <f t="shared" si="22"/>
        <v>0</v>
      </c>
      <c r="H383" s="82">
        <f t="shared" si="23"/>
        <v>0</v>
      </c>
      <c r="I383" s="87">
        <f t="shared" si="24"/>
        <v>0</v>
      </c>
    </row>
    <row r="384" spans="5:9" ht="20.25" customHeight="1" x14ac:dyDescent="0.2">
      <c r="E384" s="85">
        <v>380</v>
      </c>
      <c r="F384" s="82">
        <f t="shared" si="21"/>
        <v>0</v>
      </c>
      <c r="G384" s="82">
        <f t="shared" si="22"/>
        <v>0</v>
      </c>
      <c r="H384" s="82">
        <f t="shared" si="23"/>
        <v>0</v>
      </c>
      <c r="I384" s="87">
        <f t="shared" si="24"/>
        <v>0</v>
      </c>
    </row>
    <row r="385" spans="5:9" ht="20.25" customHeight="1" x14ac:dyDescent="0.2">
      <c r="E385" s="85">
        <v>381</v>
      </c>
      <c r="F385" s="82">
        <f t="shared" si="21"/>
        <v>0</v>
      </c>
      <c r="G385" s="82">
        <f t="shared" si="22"/>
        <v>0</v>
      </c>
      <c r="H385" s="82">
        <f t="shared" si="23"/>
        <v>0</v>
      </c>
      <c r="I385" s="87">
        <f t="shared" si="24"/>
        <v>0</v>
      </c>
    </row>
    <row r="386" spans="5:9" ht="20.25" customHeight="1" x14ac:dyDescent="0.2">
      <c r="E386" s="85">
        <v>382</v>
      </c>
      <c r="F386" s="82">
        <f t="shared" si="21"/>
        <v>0</v>
      </c>
      <c r="G386" s="82">
        <f t="shared" si="22"/>
        <v>0</v>
      </c>
      <c r="H386" s="82">
        <f t="shared" si="23"/>
        <v>0</v>
      </c>
      <c r="I386" s="87">
        <f t="shared" si="24"/>
        <v>0</v>
      </c>
    </row>
    <row r="387" spans="5:9" ht="20.25" customHeight="1" x14ac:dyDescent="0.2">
      <c r="E387" s="85">
        <v>383</v>
      </c>
      <c r="F387" s="82">
        <f t="shared" si="21"/>
        <v>0</v>
      </c>
      <c r="G387" s="82">
        <f t="shared" si="22"/>
        <v>0</v>
      </c>
      <c r="H387" s="82">
        <f t="shared" si="23"/>
        <v>0</v>
      </c>
      <c r="I387" s="87">
        <f t="shared" si="24"/>
        <v>0</v>
      </c>
    </row>
    <row r="388" spans="5:9" ht="20.25" customHeight="1" x14ac:dyDescent="0.2">
      <c r="E388" s="160">
        <v>384</v>
      </c>
      <c r="F388" s="161">
        <f t="shared" si="21"/>
        <v>0</v>
      </c>
      <c r="G388" s="161">
        <f t="shared" si="22"/>
        <v>0</v>
      </c>
      <c r="H388" s="161">
        <f t="shared" si="23"/>
        <v>0</v>
      </c>
      <c r="I388" s="162">
        <f t="shared" si="24"/>
        <v>0</v>
      </c>
    </row>
    <row r="389" spans="5:9" ht="20.25" customHeight="1" x14ac:dyDescent="0.2">
      <c r="E389" s="85">
        <v>385</v>
      </c>
      <c r="F389" s="82">
        <f t="shared" ref="F389:F452" si="25">IF($C$7+$C$11&gt;I388,I388*(1+$C$4/12),$C$7+$C$11)</f>
        <v>0</v>
      </c>
      <c r="G389" s="82">
        <f t="shared" si="22"/>
        <v>0</v>
      </c>
      <c r="H389" s="82">
        <f t="shared" si="23"/>
        <v>0</v>
      </c>
      <c r="I389" s="87">
        <f t="shared" si="24"/>
        <v>0</v>
      </c>
    </row>
    <row r="390" spans="5:9" ht="20.25" customHeight="1" x14ac:dyDescent="0.2">
      <c r="E390" s="85">
        <v>386</v>
      </c>
      <c r="F390" s="82">
        <f t="shared" si="25"/>
        <v>0</v>
      </c>
      <c r="G390" s="82">
        <f t="shared" ref="G390:G453" si="26">I389*$C$4/12</f>
        <v>0</v>
      </c>
      <c r="H390" s="82">
        <f t="shared" ref="H390:H453" si="27">F390-G390</f>
        <v>0</v>
      </c>
      <c r="I390" s="87">
        <f t="shared" ref="I390:I453" si="28">IF(I389-$H390&lt;0,0,I389-$H390)</f>
        <v>0</v>
      </c>
    </row>
    <row r="391" spans="5:9" ht="20.25" customHeight="1" x14ac:dyDescent="0.2">
      <c r="E391" s="85">
        <v>387</v>
      </c>
      <c r="F391" s="82">
        <f t="shared" si="25"/>
        <v>0</v>
      </c>
      <c r="G391" s="82">
        <f t="shared" si="26"/>
        <v>0</v>
      </c>
      <c r="H391" s="82">
        <f t="shared" si="27"/>
        <v>0</v>
      </c>
      <c r="I391" s="87">
        <f t="shared" si="28"/>
        <v>0</v>
      </c>
    </row>
    <row r="392" spans="5:9" ht="20.25" customHeight="1" x14ac:dyDescent="0.2">
      <c r="E392" s="85">
        <v>388</v>
      </c>
      <c r="F392" s="82">
        <f t="shared" si="25"/>
        <v>0</v>
      </c>
      <c r="G392" s="82">
        <f t="shared" si="26"/>
        <v>0</v>
      </c>
      <c r="H392" s="82">
        <f t="shared" si="27"/>
        <v>0</v>
      </c>
      <c r="I392" s="87">
        <f t="shared" si="28"/>
        <v>0</v>
      </c>
    </row>
    <row r="393" spans="5:9" ht="20.25" customHeight="1" x14ac:dyDescent="0.2">
      <c r="E393" s="85">
        <v>389</v>
      </c>
      <c r="F393" s="82">
        <f t="shared" si="25"/>
        <v>0</v>
      </c>
      <c r="G393" s="82">
        <f t="shared" si="26"/>
        <v>0</v>
      </c>
      <c r="H393" s="82">
        <f t="shared" si="27"/>
        <v>0</v>
      </c>
      <c r="I393" s="87">
        <f t="shared" si="28"/>
        <v>0</v>
      </c>
    </row>
    <row r="394" spans="5:9" ht="20.25" customHeight="1" x14ac:dyDescent="0.2">
      <c r="E394" s="85">
        <v>390</v>
      </c>
      <c r="F394" s="82">
        <f t="shared" si="25"/>
        <v>0</v>
      </c>
      <c r="G394" s="82">
        <f t="shared" si="26"/>
        <v>0</v>
      </c>
      <c r="H394" s="82">
        <f t="shared" si="27"/>
        <v>0</v>
      </c>
      <c r="I394" s="87">
        <f t="shared" si="28"/>
        <v>0</v>
      </c>
    </row>
    <row r="395" spans="5:9" ht="20.25" customHeight="1" x14ac:dyDescent="0.2">
      <c r="E395" s="85">
        <v>391</v>
      </c>
      <c r="F395" s="82">
        <f t="shared" si="25"/>
        <v>0</v>
      </c>
      <c r="G395" s="82">
        <f t="shared" si="26"/>
        <v>0</v>
      </c>
      <c r="H395" s="82">
        <f t="shared" si="27"/>
        <v>0</v>
      </c>
      <c r="I395" s="87">
        <f t="shared" si="28"/>
        <v>0</v>
      </c>
    </row>
    <row r="396" spans="5:9" ht="20.25" customHeight="1" x14ac:dyDescent="0.2">
      <c r="E396" s="85">
        <v>392</v>
      </c>
      <c r="F396" s="82">
        <f t="shared" si="25"/>
        <v>0</v>
      </c>
      <c r="G396" s="82">
        <f t="shared" si="26"/>
        <v>0</v>
      </c>
      <c r="H396" s="82">
        <f t="shared" si="27"/>
        <v>0</v>
      </c>
      <c r="I396" s="87">
        <f t="shared" si="28"/>
        <v>0</v>
      </c>
    </row>
    <row r="397" spans="5:9" ht="20.25" customHeight="1" x14ac:dyDescent="0.2">
      <c r="E397" s="85">
        <v>393</v>
      </c>
      <c r="F397" s="82">
        <f t="shared" si="25"/>
        <v>0</v>
      </c>
      <c r="G397" s="82">
        <f t="shared" si="26"/>
        <v>0</v>
      </c>
      <c r="H397" s="82">
        <f t="shared" si="27"/>
        <v>0</v>
      </c>
      <c r="I397" s="87">
        <f t="shared" si="28"/>
        <v>0</v>
      </c>
    </row>
    <row r="398" spans="5:9" ht="20.25" customHeight="1" x14ac:dyDescent="0.2">
      <c r="E398" s="85">
        <v>394</v>
      </c>
      <c r="F398" s="82">
        <f t="shared" si="25"/>
        <v>0</v>
      </c>
      <c r="G398" s="82">
        <f t="shared" si="26"/>
        <v>0</v>
      </c>
      <c r="H398" s="82">
        <f t="shared" si="27"/>
        <v>0</v>
      </c>
      <c r="I398" s="87">
        <f t="shared" si="28"/>
        <v>0</v>
      </c>
    </row>
    <row r="399" spans="5:9" ht="20.25" customHeight="1" x14ac:dyDescent="0.2">
      <c r="E399" s="85">
        <v>395</v>
      </c>
      <c r="F399" s="82">
        <f t="shared" si="25"/>
        <v>0</v>
      </c>
      <c r="G399" s="82">
        <f t="shared" si="26"/>
        <v>0</v>
      </c>
      <c r="H399" s="82">
        <f t="shared" si="27"/>
        <v>0</v>
      </c>
      <c r="I399" s="87">
        <f t="shared" si="28"/>
        <v>0</v>
      </c>
    </row>
    <row r="400" spans="5:9" ht="20.25" customHeight="1" x14ac:dyDescent="0.2">
      <c r="E400" s="160">
        <v>396</v>
      </c>
      <c r="F400" s="161">
        <f t="shared" si="25"/>
        <v>0</v>
      </c>
      <c r="G400" s="161">
        <f t="shared" si="26"/>
        <v>0</v>
      </c>
      <c r="H400" s="161">
        <f t="shared" si="27"/>
        <v>0</v>
      </c>
      <c r="I400" s="162">
        <f t="shared" si="28"/>
        <v>0</v>
      </c>
    </row>
    <row r="401" spans="5:9" ht="20.25" customHeight="1" x14ac:dyDescent="0.2">
      <c r="E401" s="85">
        <v>397</v>
      </c>
      <c r="F401" s="82">
        <f t="shared" si="25"/>
        <v>0</v>
      </c>
      <c r="G401" s="82">
        <f t="shared" si="26"/>
        <v>0</v>
      </c>
      <c r="H401" s="82">
        <f t="shared" si="27"/>
        <v>0</v>
      </c>
      <c r="I401" s="87">
        <f t="shared" si="28"/>
        <v>0</v>
      </c>
    </row>
    <row r="402" spans="5:9" ht="20.25" customHeight="1" x14ac:dyDescent="0.2">
      <c r="E402" s="85">
        <v>398</v>
      </c>
      <c r="F402" s="82">
        <f t="shared" si="25"/>
        <v>0</v>
      </c>
      <c r="G402" s="82">
        <f t="shared" si="26"/>
        <v>0</v>
      </c>
      <c r="H402" s="82">
        <f t="shared" si="27"/>
        <v>0</v>
      </c>
      <c r="I402" s="87">
        <f t="shared" si="28"/>
        <v>0</v>
      </c>
    </row>
    <row r="403" spans="5:9" ht="20.25" customHeight="1" x14ac:dyDescent="0.2">
      <c r="E403" s="85">
        <v>399</v>
      </c>
      <c r="F403" s="82">
        <f t="shared" si="25"/>
        <v>0</v>
      </c>
      <c r="G403" s="82">
        <f t="shared" si="26"/>
        <v>0</v>
      </c>
      <c r="H403" s="82">
        <f t="shared" si="27"/>
        <v>0</v>
      </c>
      <c r="I403" s="87">
        <f t="shared" si="28"/>
        <v>0</v>
      </c>
    </row>
    <row r="404" spans="5:9" ht="20.25" customHeight="1" x14ac:dyDescent="0.2">
      <c r="E404" s="85">
        <v>400</v>
      </c>
      <c r="F404" s="82">
        <f t="shared" si="25"/>
        <v>0</v>
      </c>
      <c r="G404" s="82">
        <f t="shared" si="26"/>
        <v>0</v>
      </c>
      <c r="H404" s="82">
        <f t="shared" si="27"/>
        <v>0</v>
      </c>
      <c r="I404" s="87">
        <f t="shared" si="28"/>
        <v>0</v>
      </c>
    </row>
    <row r="405" spans="5:9" ht="20.25" customHeight="1" x14ac:dyDescent="0.2">
      <c r="E405" s="85">
        <v>401</v>
      </c>
      <c r="F405" s="82">
        <f t="shared" si="25"/>
        <v>0</v>
      </c>
      <c r="G405" s="82">
        <f t="shared" si="26"/>
        <v>0</v>
      </c>
      <c r="H405" s="82">
        <f t="shared" si="27"/>
        <v>0</v>
      </c>
      <c r="I405" s="87">
        <f t="shared" si="28"/>
        <v>0</v>
      </c>
    </row>
    <row r="406" spans="5:9" ht="20.25" customHeight="1" x14ac:dyDescent="0.2">
      <c r="E406" s="85">
        <v>402</v>
      </c>
      <c r="F406" s="82">
        <f t="shared" si="25"/>
        <v>0</v>
      </c>
      <c r="G406" s="82">
        <f t="shared" si="26"/>
        <v>0</v>
      </c>
      <c r="H406" s="82">
        <f t="shared" si="27"/>
        <v>0</v>
      </c>
      <c r="I406" s="87">
        <f t="shared" si="28"/>
        <v>0</v>
      </c>
    </row>
    <row r="407" spans="5:9" ht="20.25" customHeight="1" x14ac:dyDescent="0.2">
      <c r="E407" s="85">
        <v>403</v>
      </c>
      <c r="F407" s="82">
        <f t="shared" si="25"/>
        <v>0</v>
      </c>
      <c r="G407" s="82">
        <f t="shared" si="26"/>
        <v>0</v>
      </c>
      <c r="H407" s="82">
        <f t="shared" si="27"/>
        <v>0</v>
      </c>
      <c r="I407" s="87">
        <f t="shared" si="28"/>
        <v>0</v>
      </c>
    </row>
    <row r="408" spans="5:9" ht="20.25" customHeight="1" x14ac:dyDescent="0.2">
      <c r="E408" s="85">
        <v>404</v>
      </c>
      <c r="F408" s="82">
        <f t="shared" si="25"/>
        <v>0</v>
      </c>
      <c r="G408" s="82">
        <f t="shared" si="26"/>
        <v>0</v>
      </c>
      <c r="H408" s="82">
        <f t="shared" si="27"/>
        <v>0</v>
      </c>
      <c r="I408" s="87">
        <f t="shared" si="28"/>
        <v>0</v>
      </c>
    </row>
    <row r="409" spans="5:9" ht="20.25" customHeight="1" x14ac:dyDescent="0.2">
      <c r="E409" s="85">
        <v>405</v>
      </c>
      <c r="F409" s="82">
        <f t="shared" si="25"/>
        <v>0</v>
      </c>
      <c r="G409" s="82">
        <f t="shared" si="26"/>
        <v>0</v>
      </c>
      <c r="H409" s="82">
        <f t="shared" si="27"/>
        <v>0</v>
      </c>
      <c r="I409" s="87">
        <f t="shared" si="28"/>
        <v>0</v>
      </c>
    </row>
    <row r="410" spans="5:9" ht="20.25" customHeight="1" x14ac:dyDescent="0.2">
      <c r="E410" s="85">
        <v>406</v>
      </c>
      <c r="F410" s="82">
        <f t="shared" si="25"/>
        <v>0</v>
      </c>
      <c r="G410" s="82">
        <f t="shared" si="26"/>
        <v>0</v>
      </c>
      <c r="H410" s="82">
        <f t="shared" si="27"/>
        <v>0</v>
      </c>
      <c r="I410" s="87">
        <f t="shared" si="28"/>
        <v>0</v>
      </c>
    </row>
    <row r="411" spans="5:9" ht="20.25" customHeight="1" x14ac:dyDescent="0.2">
      <c r="E411" s="85">
        <v>407</v>
      </c>
      <c r="F411" s="82">
        <f t="shared" si="25"/>
        <v>0</v>
      </c>
      <c r="G411" s="82">
        <f t="shared" si="26"/>
        <v>0</v>
      </c>
      <c r="H411" s="82">
        <f t="shared" si="27"/>
        <v>0</v>
      </c>
      <c r="I411" s="87">
        <f t="shared" si="28"/>
        <v>0</v>
      </c>
    </row>
    <row r="412" spans="5:9" ht="20.25" customHeight="1" x14ac:dyDescent="0.2">
      <c r="E412" s="160">
        <v>408</v>
      </c>
      <c r="F412" s="161">
        <f t="shared" si="25"/>
        <v>0</v>
      </c>
      <c r="G412" s="161">
        <f t="shared" si="26"/>
        <v>0</v>
      </c>
      <c r="H412" s="161">
        <f t="shared" si="27"/>
        <v>0</v>
      </c>
      <c r="I412" s="162">
        <f t="shared" si="28"/>
        <v>0</v>
      </c>
    </row>
    <row r="413" spans="5:9" ht="20.25" customHeight="1" x14ac:dyDescent="0.2">
      <c r="E413" s="85">
        <v>409</v>
      </c>
      <c r="F413" s="82">
        <f t="shared" si="25"/>
        <v>0</v>
      </c>
      <c r="G413" s="82">
        <f t="shared" si="26"/>
        <v>0</v>
      </c>
      <c r="H413" s="82">
        <f t="shared" si="27"/>
        <v>0</v>
      </c>
      <c r="I413" s="87">
        <f t="shared" si="28"/>
        <v>0</v>
      </c>
    </row>
    <row r="414" spans="5:9" ht="20.25" customHeight="1" x14ac:dyDescent="0.2">
      <c r="E414" s="85">
        <v>410</v>
      </c>
      <c r="F414" s="82">
        <f t="shared" si="25"/>
        <v>0</v>
      </c>
      <c r="G414" s="82">
        <f t="shared" si="26"/>
        <v>0</v>
      </c>
      <c r="H414" s="82">
        <f t="shared" si="27"/>
        <v>0</v>
      </c>
      <c r="I414" s="87">
        <f t="shared" si="28"/>
        <v>0</v>
      </c>
    </row>
    <row r="415" spans="5:9" ht="20.25" customHeight="1" x14ac:dyDescent="0.2">
      <c r="E415" s="85">
        <v>411</v>
      </c>
      <c r="F415" s="82">
        <f t="shared" si="25"/>
        <v>0</v>
      </c>
      <c r="G415" s="82">
        <f t="shared" si="26"/>
        <v>0</v>
      </c>
      <c r="H415" s="82">
        <f t="shared" si="27"/>
        <v>0</v>
      </c>
      <c r="I415" s="87">
        <f t="shared" si="28"/>
        <v>0</v>
      </c>
    </row>
    <row r="416" spans="5:9" ht="20.25" customHeight="1" x14ac:dyDescent="0.2">
      <c r="E416" s="85">
        <v>412</v>
      </c>
      <c r="F416" s="82">
        <f t="shared" si="25"/>
        <v>0</v>
      </c>
      <c r="G416" s="82">
        <f t="shared" si="26"/>
        <v>0</v>
      </c>
      <c r="H416" s="82">
        <f t="shared" si="27"/>
        <v>0</v>
      </c>
      <c r="I416" s="87">
        <f t="shared" si="28"/>
        <v>0</v>
      </c>
    </row>
    <row r="417" spans="5:9" ht="20.25" customHeight="1" x14ac:dyDescent="0.2">
      <c r="E417" s="85">
        <v>413</v>
      </c>
      <c r="F417" s="82">
        <f t="shared" si="25"/>
        <v>0</v>
      </c>
      <c r="G417" s="82">
        <f t="shared" si="26"/>
        <v>0</v>
      </c>
      <c r="H417" s="82">
        <f t="shared" si="27"/>
        <v>0</v>
      </c>
      <c r="I417" s="87">
        <f t="shared" si="28"/>
        <v>0</v>
      </c>
    </row>
    <row r="418" spans="5:9" ht="20.25" customHeight="1" x14ac:dyDescent="0.2">
      <c r="E418" s="85">
        <v>414</v>
      </c>
      <c r="F418" s="82">
        <f t="shared" si="25"/>
        <v>0</v>
      </c>
      <c r="G418" s="82">
        <f t="shared" si="26"/>
        <v>0</v>
      </c>
      <c r="H418" s="82">
        <f t="shared" si="27"/>
        <v>0</v>
      </c>
      <c r="I418" s="87">
        <f t="shared" si="28"/>
        <v>0</v>
      </c>
    </row>
    <row r="419" spans="5:9" ht="20.25" customHeight="1" x14ac:dyDescent="0.2">
      <c r="E419" s="85">
        <v>415</v>
      </c>
      <c r="F419" s="82">
        <f t="shared" si="25"/>
        <v>0</v>
      </c>
      <c r="G419" s="82">
        <f t="shared" si="26"/>
        <v>0</v>
      </c>
      <c r="H419" s="82">
        <f t="shared" si="27"/>
        <v>0</v>
      </c>
      <c r="I419" s="87">
        <f t="shared" si="28"/>
        <v>0</v>
      </c>
    </row>
    <row r="420" spans="5:9" ht="20.25" customHeight="1" x14ac:dyDescent="0.2">
      <c r="E420" s="85">
        <v>416</v>
      </c>
      <c r="F420" s="82">
        <f t="shared" si="25"/>
        <v>0</v>
      </c>
      <c r="G420" s="82">
        <f t="shared" si="26"/>
        <v>0</v>
      </c>
      <c r="H420" s="82">
        <f t="shared" si="27"/>
        <v>0</v>
      </c>
      <c r="I420" s="87">
        <f t="shared" si="28"/>
        <v>0</v>
      </c>
    </row>
    <row r="421" spans="5:9" ht="20.25" customHeight="1" x14ac:dyDescent="0.2">
      <c r="E421" s="85">
        <v>417</v>
      </c>
      <c r="F421" s="82">
        <f t="shared" si="25"/>
        <v>0</v>
      </c>
      <c r="G421" s="82">
        <f t="shared" si="26"/>
        <v>0</v>
      </c>
      <c r="H421" s="82">
        <f t="shared" si="27"/>
        <v>0</v>
      </c>
      <c r="I421" s="87">
        <f t="shared" si="28"/>
        <v>0</v>
      </c>
    </row>
    <row r="422" spans="5:9" ht="20.25" customHeight="1" x14ac:dyDescent="0.2">
      <c r="E422" s="85">
        <v>418</v>
      </c>
      <c r="F422" s="82">
        <f t="shared" si="25"/>
        <v>0</v>
      </c>
      <c r="G422" s="82">
        <f t="shared" si="26"/>
        <v>0</v>
      </c>
      <c r="H422" s="82">
        <f t="shared" si="27"/>
        <v>0</v>
      </c>
      <c r="I422" s="87">
        <f t="shared" si="28"/>
        <v>0</v>
      </c>
    </row>
    <row r="423" spans="5:9" ht="20.25" customHeight="1" x14ac:dyDescent="0.2">
      <c r="E423" s="85">
        <v>419</v>
      </c>
      <c r="F423" s="82">
        <f t="shared" si="25"/>
        <v>0</v>
      </c>
      <c r="G423" s="82">
        <f t="shared" si="26"/>
        <v>0</v>
      </c>
      <c r="H423" s="82">
        <f t="shared" si="27"/>
        <v>0</v>
      </c>
      <c r="I423" s="87">
        <f t="shared" si="28"/>
        <v>0</v>
      </c>
    </row>
    <row r="424" spans="5:9" ht="20.25" customHeight="1" x14ac:dyDescent="0.2">
      <c r="E424" s="160">
        <v>420</v>
      </c>
      <c r="F424" s="161">
        <f t="shared" si="25"/>
        <v>0</v>
      </c>
      <c r="G424" s="161">
        <f t="shared" si="26"/>
        <v>0</v>
      </c>
      <c r="H424" s="161">
        <f t="shared" si="27"/>
        <v>0</v>
      </c>
      <c r="I424" s="162">
        <f t="shared" si="28"/>
        <v>0</v>
      </c>
    </row>
    <row r="425" spans="5:9" ht="20.25" customHeight="1" x14ac:dyDescent="0.2">
      <c r="E425" s="85">
        <v>421</v>
      </c>
      <c r="F425" s="82">
        <f t="shared" si="25"/>
        <v>0</v>
      </c>
      <c r="G425" s="82">
        <f t="shared" si="26"/>
        <v>0</v>
      </c>
      <c r="H425" s="82">
        <f t="shared" si="27"/>
        <v>0</v>
      </c>
      <c r="I425" s="87">
        <f t="shared" si="28"/>
        <v>0</v>
      </c>
    </row>
    <row r="426" spans="5:9" ht="20.25" customHeight="1" x14ac:dyDescent="0.2">
      <c r="E426" s="85">
        <v>422</v>
      </c>
      <c r="F426" s="82">
        <f t="shared" si="25"/>
        <v>0</v>
      </c>
      <c r="G426" s="82">
        <f t="shared" si="26"/>
        <v>0</v>
      </c>
      <c r="H426" s="82">
        <f t="shared" si="27"/>
        <v>0</v>
      </c>
      <c r="I426" s="87">
        <f t="shared" si="28"/>
        <v>0</v>
      </c>
    </row>
    <row r="427" spans="5:9" ht="20.25" customHeight="1" x14ac:dyDescent="0.2">
      <c r="E427" s="85">
        <v>423</v>
      </c>
      <c r="F427" s="82">
        <f t="shared" si="25"/>
        <v>0</v>
      </c>
      <c r="G427" s="82">
        <f t="shared" si="26"/>
        <v>0</v>
      </c>
      <c r="H427" s="82">
        <f t="shared" si="27"/>
        <v>0</v>
      </c>
      <c r="I427" s="87">
        <f t="shared" si="28"/>
        <v>0</v>
      </c>
    </row>
    <row r="428" spans="5:9" ht="20.25" customHeight="1" x14ac:dyDescent="0.2">
      <c r="E428" s="85">
        <v>424</v>
      </c>
      <c r="F428" s="82">
        <f t="shared" si="25"/>
        <v>0</v>
      </c>
      <c r="G428" s="82">
        <f t="shared" si="26"/>
        <v>0</v>
      </c>
      <c r="H428" s="82">
        <f t="shared" si="27"/>
        <v>0</v>
      </c>
      <c r="I428" s="87">
        <f t="shared" si="28"/>
        <v>0</v>
      </c>
    </row>
    <row r="429" spans="5:9" ht="20.25" customHeight="1" x14ac:dyDescent="0.2">
      <c r="E429" s="85">
        <v>425</v>
      </c>
      <c r="F429" s="82">
        <f t="shared" si="25"/>
        <v>0</v>
      </c>
      <c r="G429" s="82">
        <f t="shared" si="26"/>
        <v>0</v>
      </c>
      <c r="H429" s="82">
        <f t="shared" si="27"/>
        <v>0</v>
      </c>
      <c r="I429" s="87">
        <f t="shared" si="28"/>
        <v>0</v>
      </c>
    </row>
    <row r="430" spans="5:9" ht="20.25" customHeight="1" x14ac:dyDescent="0.2">
      <c r="E430" s="85">
        <v>426</v>
      </c>
      <c r="F430" s="82">
        <f t="shared" si="25"/>
        <v>0</v>
      </c>
      <c r="G430" s="82">
        <f t="shared" si="26"/>
        <v>0</v>
      </c>
      <c r="H430" s="82">
        <f t="shared" si="27"/>
        <v>0</v>
      </c>
      <c r="I430" s="87">
        <f t="shared" si="28"/>
        <v>0</v>
      </c>
    </row>
    <row r="431" spans="5:9" ht="20.25" customHeight="1" x14ac:dyDescent="0.2">
      <c r="E431" s="85">
        <v>427</v>
      </c>
      <c r="F431" s="82">
        <f t="shared" si="25"/>
        <v>0</v>
      </c>
      <c r="G431" s="82">
        <f t="shared" si="26"/>
        <v>0</v>
      </c>
      <c r="H431" s="82">
        <f t="shared" si="27"/>
        <v>0</v>
      </c>
      <c r="I431" s="87">
        <f t="shared" si="28"/>
        <v>0</v>
      </c>
    </row>
    <row r="432" spans="5:9" ht="20.25" customHeight="1" x14ac:dyDescent="0.2">
      <c r="E432" s="85">
        <v>428</v>
      </c>
      <c r="F432" s="82">
        <f t="shared" si="25"/>
        <v>0</v>
      </c>
      <c r="G432" s="82">
        <f t="shared" si="26"/>
        <v>0</v>
      </c>
      <c r="H432" s="82">
        <f t="shared" si="27"/>
        <v>0</v>
      </c>
      <c r="I432" s="87">
        <f t="shared" si="28"/>
        <v>0</v>
      </c>
    </row>
    <row r="433" spans="5:9" ht="20.25" customHeight="1" x14ac:dyDescent="0.2">
      <c r="E433" s="85">
        <v>429</v>
      </c>
      <c r="F433" s="82">
        <f t="shared" si="25"/>
        <v>0</v>
      </c>
      <c r="G433" s="82">
        <f t="shared" si="26"/>
        <v>0</v>
      </c>
      <c r="H433" s="82">
        <f t="shared" si="27"/>
        <v>0</v>
      </c>
      <c r="I433" s="87">
        <f t="shared" si="28"/>
        <v>0</v>
      </c>
    </row>
    <row r="434" spans="5:9" ht="20.25" customHeight="1" x14ac:dyDescent="0.2">
      <c r="E434" s="85">
        <v>430</v>
      </c>
      <c r="F434" s="82">
        <f t="shared" si="25"/>
        <v>0</v>
      </c>
      <c r="G434" s="82">
        <f t="shared" si="26"/>
        <v>0</v>
      </c>
      <c r="H434" s="82">
        <f t="shared" si="27"/>
        <v>0</v>
      </c>
      <c r="I434" s="87">
        <f t="shared" si="28"/>
        <v>0</v>
      </c>
    </row>
    <row r="435" spans="5:9" ht="20.25" customHeight="1" x14ac:dyDescent="0.2">
      <c r="E435" s="85">
        <v>431</v>
      </c>
      <c r="F435" s="82">
        <f t="shared" si="25"/>
        <v>0</v>
      </c>
      <c r="G435" s="82">
        <f t="shared" si="26"/>
        <v>0</v>
      </c>
      <c r="H435" s="82">
        <f t="shared" si="27"/>
        <v>0</v>
      </c>
      <c r="I435" s="87">
        <f t="shared" si="28"/>
        <v>0</v>
      </c>
    </row>
    <row r="436" spans="5:9" ht="20.25" customHeight="1" x14ac:dyDescent="0.2">
      <c r="E436" s="160">
        <v>432</v>
      </c>
      <c r="F436" s="161">
        <f t="shared" si="25"/>
        <v>0</v>
      </c>
      <c r="G436" s="161">
        <f t="shared" si="26"/>
        <v>0</v>
      </c>
      <c r="H436" s="161">
        <f t="shared" si="27"/>
        <v>0</v>
      </c>
      <c r="I436" s="162">
        <f t="shared" si="28"/>
        <v>0</v>
      </c>
    </row>
    <row r="437" spans="5:9" ht="20.25" customHeight="1" x14ac:dyDescent="0.2">
      <c r="E437" s="85">
        <v>433</v>
      </c>
      <c r="F437" s="82">
        <f t="shared" si="25"/>
        <v>0</v>
      </c>
      <c r="G437" s="82">
        <f t="shared" si="26"/>
        <v>0</v>
      </c>
      <c r="H437" s="82">
        <f t="shared" si="27"/>
        <v>0</v>
      </c>
      <c r="I437" s="87">
        <f t="shared" si="28"/>
        <v>0</v>
      </c>
    </row>
    <row r="438" spans="5:9" ht="20.25" customHeight="1" x14ac:dyDescent="0.2">
      <c r="E438" s="85">
        <v>434</v>
      </c>
      <c r="F438" s="82">
        <f t="shared" si="25"/>
        <v>0</v>
      </c>
      <c r="G438" s="82">
        <f t="shared" si="26"/>
        <v>0</v>
      </c>
      <c r="H438" s="82">
        <f t="shared" si="27"/>
        <v>0</v>
      </c>
      <c r="I438" s="87">
        <f t="shared" si="28"/>
        <v>0</v>
      </c>
    </row>
    <row r="439" spans="5:9" ht="20.25" customHeight="1" x14ac:dyDescent="0.2">
      <c r="E439" s="85">
        <v>435</v>
      </c>
      <c r="F439" s="82">
        <f t="shared" si="25"/>
        <v>0</v>
      </c>
      <c r="G439" s="82">
        <f t="shared" si="26"/>
        <v>0</v>
      </c>
      <c r="H439" s="82">
        <f t="shared" si="27"/>
        <v>0</v>
      </c>
      <c r="I439" s="87">
        <f t="shared" si="28"/>
        <v>0</v>
      </c>
    </row>
    <row r="440" spans="5:9" ht="20.25" customHeight="1" x14ac:dyDescent="0.2">
      <c r="E440" s="85">
        <v>436</v>
      </c>
      <c r="F440" s="82">
        <f t="shared" si="25"/>
        <v>0</v>
      </c>
      <c r="G440" s="82">
        <f t="shared" si="26"/>
        <v>0</v>
      </c>
      <c r="H440" s="82">
        <f t="shared" si="27"/>
        <v>0</v>
      </c>
      <c r="I440" s="87">
        <f t="shared" si="28"/>
        <v>0</v>
      </c>
    </row>
    <row r="441" spans="5:9" ht="20.25" customHeight="1" x14ac:dyDescent="0.2">
      <c r="E441" s="85">
        <v>437</v>
      </c>
      <c r="F441" s="82">
        <f t="shared" si="25"/>
        <v>0</v>
      </c>
      <c r="G441" s="82">
        <f t="shared" si="26"/>
        <v>0</v>
      </c>
      <c r="H441" s="82">
        <f t="shared" si="27"/>
        <v>0</v>
      </c>
      <c r="I441" s="87">
        <f t="shared" si="28"/>
        <v>0</v>
      </c>
    </row>
    <row r="442" spans="5:9" ht="20.25" customHeight="1" x14ac:dyDescent="0.2">
      <c r="E442" s="85">
        <v>438</v>
      </c>
      <c r="F442" s="82">
        <f t="shared" si="25"/>
        <v>0</v>
      </c>
      <c r="G442" s="82">
        <f t="shared" si="26"/>
        <v>0</v>
      </c>
      <c r="H442" s="82">
        <f t="shared" si="27"/>
        <v>0</v>
      </c>
      <c r="I442" s="87">
        <f t="shared" si="28"/>
        <v>0</v>
      </c>
    </row>
    <row r="443" spans="5:9" ht="20.25" customHeight="1" x14ac:dyDescent="0.2">
      <c r="E443" s="85">
        <v>439</v>
      </c>
      <c r="F443" s="82">
        <f t="shared" si="25"/>
        <v>0</v>
      </c>
      <c r="G443" s="82">
        <f t="shared" si="26"/>
        <v>0</v>
      </c>
      <c r="H443" s="82">
        <f t="shared" si="27"/>
        <v>0</v>
      </c>
      <c r="I443" s="87">
        <f t="shared" si="28"/>
        <v>0</v>
      </c>
    </row>
    <row r="444" spans="5:9" ht="20.25" customHeight="1" x14ac:dyDescent="0.2">
      <c r="E444" s="85">
        <v>440</v>
      </c>
      <c r="F444" s="82">
        <f t="shared" si="25"/>
        <v>0</v>
      </c>
      <c r="G444" s="82">
        <f t="shared" si="26"/>
        <v>0</v>
      </c>
      <c r="H444" s="82">
        <f t="shared" si="27"/>
        <v>0</v>
      </c>
      <c r="I444" s="87">
        <f t="shared" si="28"/>
        <v>0</v>
      </c>
    </row>
    <row r="445" spans="5:9" ht="20.25" customHeight="1" x14ac:dyDescent="0.2">
      <c r="E445" s="85">
        <v>441</v>
      </c>
      <c r="F445" s="82">
        <f t="shared" si="25"/>
        <v>0</v>
      </c>
      <c r="G445" s="82">
        <f t="shared" si="26"/>
        <v>0</v>
      </c>
      <c r="H445" s="82">
        <f t="shared" si="27"/>
        <v>0</v>
      </c>
      <c r="I445" s="87">
        <f t="shared" si="28"/>
        <v>0</v>
      </c>
    </row>
    <row r="446" spans="5:9" ht="20.25" customHeight="1" x14ac:dyDescent="0.2">
      <c r="E446" s="85">
        <v>442</v>
      </c>
      <c r="F446" s="82">
        <f t="shared" si="25"/>
        <v>0</v>
      </c>
      <c r="G446" s="82">
        <f t="shared" si="26"/>
        <v>0</v>
      </c>
      <c r="H446" s="82">
        <f t="shared" si="27"/>
        <v>0</v>
      </c>
      <c r="I446" s="87">
        <f t="shared" si="28"/>
        <v>0</v>
      </c>
    </row>
    <row r="447" spans="5:9" ht="20.25" customHeight="1" x14ac:dyDescent="0.2">
      <c r="E447" s="85">
        <v>443</v>
      </c>
      <c r="F447" s="82">
        <f t="shared" si="25"/>
        <v>0</v>
      </c>
      <c r="G447" s="82">
        <f t="shared" si="26"/>
        <v>0</v>
      </c>
      <c r="H447" s="82">
        <f t="shared" si="27"/>
        <v>0</v>
      </c>
      <c r="I447" s="87">
        <f t="shared" si="28"/>
        <v>0</v>
      </c>
    </row>
    <row r="448" spans="5:9" ht="20.25" customHeight="1" x14ac:dyDescent="0.2">
      <c r="E448" s="160">
        <v>444</v>
      </c>
      <c r="F448" s="161">
        <f t="shared" si="25"/>
        <v>0</v>
      </c>
      <c r="G448" s="161">
        <f t="shared" si="26"/>
        <v>0</v>
      </c>
      <c r="H448" s="161">
        <f t="shared" si="27"/>
        <v>0</v>
      </c>
      <c r="I448" s="162">
        <f t="shared" si="28"/>
        <v>0</v>
      </c>
    </row>
    <row r="449" spans="5:9" ht="20.25" customHeight="1" x14ac:dyDescent="0.2">
      <c r="E449" s="85">
        <v>445</v>
      </c>
      <c r="F449" s="82">
        <f t="shared" si="25"/>
        <v>0</v>
      </c>
      <c r="G449" s="82">
        <f t="shared" si="26"/>
        <v>0</v>
      </c>
      <c r="H449" s="82">
        <f t="shared" si="27"/>
        <v>0</v>
      </c>
      <c r="I449" s="87">
        <f t="shared" si="28"/>
        <v>0</v>
      </c>
    </row>
    <row r="450" spans="5:9" ht="20.25" customHeight="1" x14ac:dyDescent="0.2">
      <c r="E450" s="85">
        <v>446</v>
      </c>
      <c r="F450" s="82">
        <f t="shared" si="25"/>
        <v>0</v>
      </c>
      <c r="G450" s="82">
        <f t="shared" si="26"/>
        <v>0</v>
      </c>
      <c r="H450" s="82">
        <f t="shared" si="27"/>
        <v>0</v>
      </c>
      <c r="I450" s="87">
        <f t="shared" si="28"/>
        <v>0</v>
      </c>
    </row>
    <row r="451" spans="5:9" ht="20.25" customHeight="1" x14ac:dyDescent="0.2">
      <c r="E451" s="85">
        <v>447</v>
      </c>
      <c r="F451" s="82">
        <f t="shared" si="25"/>
        <v>0</v>
      </c>
      <c r="G451" s="82">
        <f t="shared" si="26"/>
        <v>0</v>
      </c>
      <c r="H451" s="82">
        <f t="shared" si="27"/>
        <v>0</v>
      </c>
      <c r="I451" s="87">
        <f t="shared" si="28"/>
        <v>0</v>
      </c>
    </row>
    <row r="452" spans="5:9" ht="20.25" customHeight="1" x14ac:dyDescent="0.2">
      <c r="E452" s="85">
        <v>448</v>
      </c>
      <c r="F452" s="82">
        <f t="shared" si="25"/>
        <v>0</v>
      </c>
      <c r="G452" s="82">
        <f t="shared" si="26"/>
        <v>0</v>
      </c>
      <c r="H452" s="82">
        <f t="shared" si="27"/>
        <v>0</v>
      </c>
      <c r="I452" s="87">
        <f t="shared" si="28"/>
        <v>0</v>
      </c>
    </row>
    <row r="453" spans="5:9" ht="20.25" customHeight="1" x14ac:dyDescent="0.2">
      <c r="E453" s="85">
        <v>449</v>
      </c>
      <c r="F453" s="82">
        <f t="shared" ref="F453:F484" si="29">IF($C$7+$C$11&gt;I452,I452*(1+$C$4/12),$C$7+$C$11)</f>
        <v>0</v>
      </c>
      <c r="G453" s="82">
        <f t="shared" si="26"/>
        <v>0</v>
      </c>
      <c r="H453" s="82">
        <f t="shared" si="27"/>
        <v>0</v>
      </c>
      <c r="I453" s="87">
        <f t="shared" si="28"/>
        <v>0</v>
      </c>
    </row>
    <row r="454" spans="5:9" ht="20.25" customHeight="1" x14ac:dyDescent="0.2">
      <c r="E454" s="85">
        <v>450</v>
      </c>
      <c r="F454" s="82">
        <f t="shared" si="29"/>
        <v>0</v>
      </c>
      <c r="G454" s="82">
        <f t="shared" ref="G454:G484" si="30">I453*$C$4/12</f>
        <v>0</v>
      </c>
      <c r="H454" s="82">
        <f t="shared" ref="H454:H484" si="31">F454-G454</f>
        <v>0</v>
      </c>
      <c r="I454" s="87">
        <f t="shared" ref="I454:I484" si="32">IF(I453-$H454&lt;0,0,I453-$H454)</f>
        <v>0</v>
      </c>
    </row>
    <row r="455" spans="5:9" ht="20.25" customHeight="1" x14ac:dyDescent="0.2">
      <c r="E455" s="85">
        <v>451</v>
      </c>
      <c r="F455" s="82">
        <f t="shared" si="29"/>
        <v>0</v>
      </c>
      <c r="G455" s="82">
        <f t="shared" si="30"/>
        <v>0</v>
      </c>
      <c r="H455" s="82">
        <f t="shared" si="31"/>
        <v>0</v>
      </c>
      <c r="I455" s="87">
        <f t="shared" si="32"/>
        <v>0</v>
      </c>
    </row>
    <row r="456" spans="5:9" ht="20.25" customHeight="1" x14ac:dyDescent="0.2">
      <c r="E456" s="85">
        <v>452</v>
      </c>
      <c r="F456" s="82">
        <f t="shared" si="29"/>
        <v>0</v>
      </c>
      <c r="G456" s="82">
        <f t="shared" si="30"/>
        <v>0</v>
      </c>
      <c r="H456" s="82">
        <f t="shared" si="31"/>
        <v>0</v>
      </c>
      <c r="I456" s="87">
        <f t="shared" si="32"/>
        <v>0</v>
      </c>
    </row>
    <row r="457" spans="5:9" ht="20.25" customHeight="1" x14ac:dyDescent="0.2">
      <c r="E457" s="85">
        <v>453</v>
      </c>
      <c r="F457" s="82">
        <f t="shared" si="29"/>
        <v>0</v>
      </c>
      <c r="G457" s="82">
        <f t="shared" si="30"/>
        <v>0</v>
      </c>
      <c r="H457" s="82">
        <f t="shared" si="31"/>
        <v>0</v>
      </c>
      <c r="I457" s="87">
        <f t="shared" si="32"/>
        <v>0</v>
      </c>
    </row>
    <row r="458" spans="5:9" ht="20.25" customHeight="1" x14ac:dyDescent="0.2">
      <c r="E458" s="85">
        <v>454</v>
      </c>
      <c r="F458" s="82">
        <f t="shared" si="29"/>
        <v>0</v>
      </c>
      <c r="G458" s="82">
        <f t="shared" si="30"/>
        <v>0</v>
      </c>
      <c r="H458" s="82">
        <f t="shared" si="31"/>
        <v>0</v>
      </c>
      <c r="I458" s="87">
        <f t="shared" si="32"/>
        <v>0</v>
      </c>
    </row>
    <row r="459" spans="5:9" ht="20.25" customHeight="1" x14ac:dyDescent="0.2">
      <c r="E459" s="85">
        <v>455</v>
      </c>
      <c r="F459" s="82">
        <f t="shared" si="29"/>
        <v>0</v>
      </c>
      <c r="G459" s="82">
        <f t="shared" si="30"/>
        <v>0</v>
      </c>
      <c r="H459" s="82">
        <f t="shared" si="31"/>
        <v>0</v>
      </c>
      <c r="I459" s="87">
        <f t="shared" si="32"/>
        <v>0</v>
      </c>
    </row>
    <row r="460" spans="5:9" ht="20.25" customHeight="1" x14ac:dyDescent="0.2">
      <c r="E460" s="160">
        <v>456</v>
      </c>
      <c r="F460" s="161">
        <f t="shared" si="29"/>
        <v>0</v>
      </c>
      <c r="G460" s="161">
        <f t="shared" si="30"/>
        <v>0</v>
      </c>
      <c r="H460" s="161">
        <f t="shared" si="31"/>
        <v>0</v>
      </c>
      <c r="I460" s="162">
        <f t="shared" si="32"/>
        <v>0</v>
      </c>
    </row>
    <row r="461" spans="5:9" ht="20.25" customHeight="1" x14ac:dyDescent="0.2">
      <c r="E461" s="85">
        <v>457</v>
      </c>
      <c r="F461" s="82">
        <f t="shared" si="29"/>
        <v>0</v>
      </c>
      <c r="G461" s="82">
        <f t="shared" si="30"/>
        <v>0</v>
      </c>
      <c r="H461" s="82">
        <f t="shared" si="31"/>
        <v>0</v>
      </c>
      <c r="I461" s="87">
        <f t="shared" si="32"/>
        <v>0</v>
      </c>
    </row>
    <row r="462" spans="5:9" ht="20.25" customHeight="1" x14ac:dyDescent="0.2">
      <c r="E462" s="85">
        <v>458</v>
      </c>
      <c r="F462" s="82">
        <f t="shared" si="29"/>
        <v>0</v>
      </c>
      <c r="G462" s="82">
        <f t="shared" si="30"/>
        <v>0</v>
      </c>
      <c r="H462" s="82">
        <f t="shared" si="31"/>
        <v>0</v>
      </c>
      <c r="I462" s="87">
        <f t="shared" si="32"/>
        <v>0</v>
      </c>
    </row>
    <row r="463" spans="5:9" ht="20.25" customHeight="1" x14ac:dyDescent="0.2">
      <c r="E463" s="85">
        <v>459</v>
      </c>
      <c r="F463" s="82">
        <f t="shared" si="29"/>
        <v>0</v>
      </c>
      <c r="G463" s="82">
        <f t="shared" si="30"/>
        <v>0</v>
      </c>
      <c r="H463" s="82">
        <f t="shared" si="31"/>
        <v>0</v>
      </c>
      <c r="I463" s="87">
        <f t="shared" si="32"/>
        <v>0</v>
      </c>
    </row>
    <row r="464" spans="5:9" ht="20.25" customHeight="1" x14ac:dyDescent="0.2">
      <c r="E464" s="85">
        <v>460</v>
      </c>
      <c r="F464" s="82">
        <f t="shared" si="29"/>
        <v>0</v>
      </c>
      <c r="G464" s="82">
        <f t="shared" si="30"/>
        <v>0</v>
      </c>
      <c r="H464" s="82">
        <f t="shared" si="31"/>
        <v>0</v>
      </c>
      <c r="I464" s="87">
        <f t="shared" si="32"/>
        <v>0</v>
      </c>
    </row>
    <row r="465" spans="5:9" ht="20.25" customHeight="1" x14ac:dyDescent="0.2">
      <c r="E465" s="85">
        <v>461</v>
      </c>
      <c r="F465" s="82">
        <f t="shared" si="29"/>
        <v>0</v>
      </c>
      <c r="G465" s="82">
        <f t="shared" si="30"/>
        <v>0</v>
      </c>
      <c r="H465" s="82">
        <f t="shared" si="31"/>
        <v>0</v>
      </c>
      <c r="I465" s="87">
        <f t="shared" si="32"/>
        <v>0</v>
      </c>
    </row>
    <row r="466" spans="5:9" ht="20.25" customHeight="1" x14ac:dyDescent="0.2">
      <c r="E466" s="85">
        <v>462</v>
      </c>
      <c r="F466" s="82">
        <f t="shared" si="29"/>
        <v>0</v>
      </c>
      <c r="G466" s="82">
        <f t="shared" si="30"/>
        <v>0</v>
      </c>
      <c r="H466" s="82">
        <f t="shared" si="31"/>
        <v>0</v>
      </c>
      <c r="I466" s="87">
        <f t="shared" si="32"/>
        <v>0</v>
      </c>
    </row>
    <row r="467" spans="5:9" ht="20.25" customHeight="1" x14ac:dyDescent="0.2">
      <c r="E467" s="85">
        <v>463</v>
      </c>
      <c r="F467" s="82">
        <f t="shared" si="29"/>
        <v>0</v>
      </c>
      <c r="G467" s="82">
        <f t="shared" si="30"/>
        <v>0</v>
      </c>
      <c r="H467" s="82">
        <f t="shared" si="31"/>
        <v>0</v>
      </c>
      <c r="I467" s="87">
        <f t="shared" si="32"/>
        <v>0</v>
      </c>
    </row>
    <row r="468" spans="5:9" ht="20.25" customHeight="1" x14ac:dyDescent="0.2">
      <c r="E468" s="85">
        <v>464</v>
      </c>
      <c r="F468" s="82">
        <f t="shared" si="29"/>
        <v>0</v>
      </c>
      <c r="G468" s="82">
        <f t="shared" si="30"/>
        <v>0</v>
      </c>
      <c r="H468" s="82">
        <f t="shared" si="31"/>
        <v>0</v>
      </c>
      <c r="I468" s="87">
        <f t="shared" si="32"/>
        <v>0</v>
      </c>
    </row>
    <row r="469" spans="5:9" ht="20.25" customHeight="1" x14ac:dyDescent="0.2">
      <c r="E469" s="85">
        <v>465</v>
      </c>
      <c r="F469" s="82">
        <f t="shared" si="29"/>
        <v>0</v>
      </c>
      <c r="G469" s="82">
        <f t="shared" si="30"/>
        <v>0</v>
      </c>
      <c r="H469" s="82">
        <f t="shared" si="31"/>
        <v>0</v>
      </c>
      <c r="I469" s="87">
        <f t="shared" si="32"/>
        <v>0</v>
      </c>
    </row>
    <row r="470" spans="5:9" ht="20.25" customHeight="1" x14ac:dyDescent="0.2">
      <c r="E470" s="85">
        <v>466</v>
      </c>
      <c r="F470" s="82">
        <f t="shared" si="29"/>
        <v>0</v>
      </c>
      <c r="G470" s="82">
        <f t="shared" si="30"/>
        <v>0</v>
      </c>
      <c r="H470" s="82">
        <f t="shared" si="31"/>
        <v>0</v>
      </c>
      <c r="I470" s="87">
        <f t="shared" si="32"/>
        <v>0</v>
      </c>
    </row>
    <row r="471" spans="5:9" ht="20.25" customHeight="1" x14ac:dyDescent="0.2">
      <c r="E471" s="85">
        <v>467</v>
      </c>
      <c r="F471" s="82">
        <f t="shared" si="29"/>
        <v>0</v>
      </c>
      <c r="G471" s="82">
        <f t="shared" si="30"/>
        <v>0</v>
      </c>
      <c r="H471" s="82">
        <f t="shared" si="31"/>
        <v>0</v>
      </c>
      <c r="I471" s="87">
        <f t="shared" si="32"/>
        <v>0</v>
      </c>
    </row>
    <row r="472" spans="5:9" ht="20.25" customHeight="1" x14ac:dyDescent="0.2">
      <c r="E472" s="160">
        <v>468</v>
      </c>
      <c r="F472" s="161">
        <f t="shared" si="29"/>
        <v>0</v>
      </c>
      <c r="G472" s="161">
        <f t="shared" si="30"/>
        <v>0</v>
      </c>
      <c r="H472" s="161">
        <f t="shared" si="31"/>
        <v>0</v>
      </c>
      <c r="I472" s="162">
        <f t="shared" si="32"/>
        <v>0</v>
      </c>
    </row>
    <row r="473" spans="5:9" ht="20.25" customHeight="1" x14ac:dyDescent="0.2">
      <c r="E473" s="85">
        <v>469</v>
      </c>
      <c r="F473" s="82">
        <f t="shared" si="29"/>
        <v>0</v>
      </c>
      <c r="G473" s="82">
        <f t="shared" si="30"/>
        <v>0</v>
      </c>
      <c r="H473" s="82">
        <f t="shared" si="31"/>
        <v>0</v>
      </c>
      <c r="I473" s="87">
        <f t="shared" si="32"/>
        <v>0</v>
      </c>
    </row>
    <row r="474" spans="5:9" ht="20.25" customHeight="1" x14ac:dyDescent="0.2">
      <c r="E474" s="85">
        <v>470</v>
      </c>
      <c r="F474" s="82">
        <f t="shared" si="29"/>
        <v>0</v>
      </c>
      <c r="G474" s="82">
        <f t="shared" si="30"/>
        <v>0</v>
      </c>
      <c r="H474" s="82">
        <f t="shared" si="31"/>
        <v>0</v>
      </c>
      <c r="I474" s="87">
        <f t="shared" si="32"/>
        <v>0</v>
      </c>
    </row>
    <row r="475" spans="5:9" ht="20.25" customHeight="1" x14ac:dyDescent="0.2">
      <c r="E475" s="85">
        <v>471</v>
      </c>
      <c r="F475" s="82">
        <f t="shared" si="29"/>
        <v>0</v>
      </c>
      <c r="G475" s="82">
        <f t="shared" si="30"/>
        <v>0</v>
      </c>
      <c r="H475" s="82">
        <f t="shared" si="31"/>
        <v>0</v>
      </c>
      <c r="I475" s="87">
        <f t="shared" si="32"/>
        <v>0</v>
      </c>
    </row>
    <row r="476" spans="5:9" ht="20.25" customHeight="1" x14ac:dyDescent="0.2">
      <c r="E476" s="85">
        <v>472</v>
      </c>
      <c r="F476" s="82">
        <f t="shared" si="29"/>
        <v>0</v>
      </c>
      <c r="G476" s="82">
        <f t="shared" si="30"/>
        <v>0</v>
      </c>
      <c r="H476" s="82">
        <f t="shared" si="31"/>
        <v>0</v>
      </c>
      <c r="I476" s="87">
        <f t="shared" si="32"/>
        <v>0</v>
      </c>
    </row>
    <row r="477" spans="5:9" ht="20.25" customHeight="1" x14ac:dyDescent="0.2">
      <c r="E477" s="85">
        <v>473</v>
      </c>
      <c r="F477" s="82">
        <f t="shared" si="29"/>
        <v>0</v>
      </c>
      <c r="G477" s="82">
        <f t="shared" si="30"/>
        <v>0</v>
      </c>
      <c r="H477" s="82">
        <f t="shared" si="31"/>
        <v>0</v>
      </c>
      <c r="I477" s="87">
        <f t="shared" si="32"/>
        <v>0</v>
      </c>
    </row>
    <row r="478" spans="5:9" ht="20.25" customHeight="1" x14ac:dyDescent="0.2">
      <c r="E478" s="85">
        <v>474</v>
      </c>
      <c r="F478" s="82">
        <f t="shared" si="29"/>
        <v>0</v>
      </c>
      <c r="G478" s="82">
        <f t="shared" si="30"/>
        <v>0</v>
      </c>
      <c r="H478" s="82">
        <f t="shared" si="31"/>
        <v>0</v>
      </c>
      <c r="I478" s="87">
        <f t="shared" si="32"/>
        <v>0</v>
      </c>
    </row>
    <row r="479" spans="5:9" ht="20.25" customHeight="1" x14ac:dyDescent="0.2">
      <c r="E479" s="85">
        <v>475</v>
      </c>
      <c r="F479" s="82">
        <f t="shared" si="29"/>
        <v>0</v>
      </c>
      <c r="G479" s="82">
        <f t="shared" si="30"/>
        <v>0</v>
      </c>
      <c r="H479" s="82">
        <f t="shared" si="31"/>
        <v>0</v>
      </c>
      <c r="I479" s="87">
        <f t="shared" si="32"/>
        <v>0</v>
      </c>
    </row>
    <row r="480" spans="5:9" ht="20.25" customHeight="1" x14ac:dyDescent="0.2">
      <c r="E480" s="85">
        <v>476</v>
      </c>
      <c r="F480" s="82">
        <f t="shared" si="29"/>
        <v>0</v>
      </c>
      <c r="G480" s="82">
        <f t="shared" si="30"/>
        <v>0</v>
      </c>
      <c r="H480" s="82">
        <f t="shared" si="31"/>
        <v>0</v>
      </c>
      <c r="I480" s="87">
        <f t="shared" si="32"/>
        <v>0</v>
      </c>
    </row>
    <row r="481" spans="5:9" ht="20.25" customHeight="1" x14ac:dyDescent="0.2">
      <c r="E481" s="85">
        <v>477</v>
      </c>
      <c r="F481" s="82">
        <f t="shared" si="29"/>
        <v>0</v>
      </c>
      <c r="G481" s="82">
        <f t="shared" si="30"/>
        <v>0</v>
      </c>
      <c r="H481" s="82">
        <f t="shared" si="31"/>
        <v>0</v>
      </c>
      <c r="I481" s="87">
        <f t="shared" si="32"/>
        <v>0</v>
      </c>
    </row>
    <row r="482" spans="5:9" ht="20.25" customHeight="1" x14ac:dyDescent="0.2">
      <c r="E482" s="85">
        <v>478</v>
      </c>
      <c r="F482" s="82">
        <f t="shared" si="29"/>
        <v>0</v>
      </c>
      <c r="G482" s="82">
        <f t="shared" si="30"/>
        <v>0</v>
      </c>
      <c r="H482" s="82">
        <f t="shared" si="31"/>
        <v>0</v>
      </c>
      <c r="I482" s="87">
        <f t="shared" si="32"/>
        <v>0</v>
      </c>
    </row>
    <row r="483" spans="5:9" ht="20.25" customHeight="1" x14ac:dyDescent="0.2">
      <c r="E483" s="85">
        <v>479</v>
      </c>
      <c r="F483" s="82">
        <f t="shared" si="29"/>
        <v>0</v>
      </c>
      <c r="G483" s="82">
        <f t="shared" si="30"/>
        <v>0</v>
      </c>
      <c r="H483" s="82">
        <f t="shared" si="31"/>
        <v>0</v>
      </c>
      <c r="I483" s="87">
        <f t="shared" si="32"/>
        <v>0</v>
      </c>
    </row>
    <row r="484" spans="5:9" ht="20.25" customHeight="1" x14ac:dyDescent="0.2">
      <c r="E484" s="160">
        <v>480</v>
      </c>
      <c r="F484" s="161">
        <f t="shared" si="29"/>
        <v>0</v>
      </c>
      <c r="G484" s="161">
        <f t="shared" si="30"/>
        <v>0</v>
      </c>
      <c r="H484" s="161">
        <f t="shared" si="31"/>
        <v>0</v>
      </c>
      <c r="I484" s="162">
        <f t="shared" si="32"/>
        <v>0</v>
      </c>
    </row>
  </sheetData>
  <mergeCells count="1">
    <mergeCell ref="B2:C2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7132-29BD-4C96-B3E3-785EB29C1017}">
  <sheetPr>
    <tabColor theme="4" tint="0.79998168889431442"/>
  </sheetPr>
  <dimension ref="B1:I43"/>
  <sheetViews>
    <sheetView workbookViewId="0">
      <selection activeCell="G33" sqref="G33"/>
    </sheetView>
  </sheetViews>
  <sheetFormatPr defaultRowHeight="12.75" x14ac:dyDescent="0.2"/>
  <cols>
    <col min="2" max="2" width="28.85546875" customWidth="1"/>
    <col min="3" max="3" width="28.28515625" bestFit="1" customWidth="1"/>
    <col min="5" max="8" width="21.140625" customWidth="1"/>
    <col min="9" max="9" width="25.5703125" customWidth="1"/>
  </cols>
  <sheetData>
    <row r="1" spans="2:9" ht="13.5" thickBot="1" x14ac:dyDescent="0.25"/>
    <row r="2" spans="2:9" ht="27" thickBot="1" x14ac:dyDescent="0.6">
      <c r="B2" s="198" t="s">
        <v>89</v>
      </c>
      <c r="C2" s="198"/>
      <c r="E2" s="72" t="s">
        <v>86</v>
      </c>
      <c r="F2" s="73" t="s">
        <v>161</v>
      </c>
      <c r="G2" s="73" t="s">
        <v>95</v>
      </c>
      <c r="H2" s="73" t="s">
        <v>93</v>
      </c>
      <c r="I2" s="73" t="s">
        <v>85</v>
      </c>
    </row>
    <row r="3" spans="2:9" ht="24" thickBot="1" x14ac:dyDescent="0.55000000000000004">
      <c r="B3" s="62" t="s">
        <v>111</v>
      </c>
      <c r="C3" s="74">
        <v>300000</v>
      </c>
      <c r="E3" s="66">
        <v>0</v>
      </c>
      <c r="F3" s="69"/>
      <c r="G3" s="69">
        <f>C3</f>
        <v>300000</v>
      </c>
      <c r="H3" s="69">
        <f>C3</f>
        <v>300000</v>
      </c>
      <c r="I3" s="69"/>
    </row>
    <row r="4" spans="2:9" ht="24" thickBot="1" x14ac:dyDescent="0.55000000000000004">
      <c r="B4" s="62" t="s">
        <v>162</v>
      </c>
      <c r="C4" s="74">
        <v>30000</v>
      </c>
      <c r="E4" s="66">
        <v>1</v>
      </c>
      <c r="F4" s="69">
        <f>IF(E4&gt;$C$6,0,$C$4)</f>
        <v>30000</v>
      </c>
      <c r="G4" s="69">
        <f>G3+F4</f>
        <v>330000</v>
      </c>
      <c r="H4" s="69">
        <f>H3*(1+$C$5)+F4</f>
        <v>348000</v>
      </c>
      <c r="I4" s="69">
        <f>H4-G4</f>
        <v>18000</v>
      </c>
    </row>
    <row r="5" spans="2:9" ht="24" thickBot="1" x14ac:dyDescent="0.55000000000000004">
      <c r="B5" s="62" t="s">
        <v>90</v>
      </c>
      <c r="C5" s="76">
        <v>0.06</v>
      </c>
      <c r="E5" s="66">
        <v>2</v>
      </c>
      <c r="F5" s="69">
        <f t="shared" ref="F5:F43" si="0">IF(E5&gt;$C$6,0,$C$4)</f>
        <v>30000</v>
      </c>
      <c r="G5" s="69">
        <f>G4+F5</f>
        <v>360000</v>
      </c>
      <c r="H5" s="69">
        <f>H4*(1+$C$5)+F5</f>
        <v>398880</v>
      </c>
      <c r="I5" s="69">
        <f t="shared" ref="I5:I43" si="1">H5-G5</f>
        <v>38880</v>
      </c>
    </row>
    <row r="6" spans="2:9" ht="24" thickBot="1" x14ac:dyDescent="0.55000000000000004">
      <c r="B6" s="62" t="s">
        <v>94</v>
      </c>
      <c r="C6" s="75">
        <v>30</v>
      </c>
      <c r="E6" s="66">
        <v>3</v>
      </c>
      <c r="F6" s="69">
        <f t="shared" si="0"/>
        <v>30000</v>
      </c>
      <c r="G6" s="69">
        <f t="shared" ref="G6:G43" si="2">G5+F6</f>
        <v>390000</v>
      </c>
      <c r="H6" s="69">
        <f t="shared" ref="H6:H43" si="3">H5*(1+$C$5)+F6</f>
        <v>452812.80000000005</v>
      </c>
      <c r="I6" s="69">
        <f t="shared" si="1"/>
        <v>62812.800000000047</v>
      </c>
    </row>
    <row r="7" spans="2:9" ht="24" thickBot="1" x14ac:dyDescent="0.55000000000000004">
      <c r="B7" s="62"/>
      <c r="C7" s="42"/>
      <c r="E7" s="66">
        <v>4</v>
      </c>
      <c r="F7" s="69">
        <f t="shared" si="0"/>
        <v>30000</v>
      </c>
      <c r="G7" s="69">
        <f t="shared" si="2"/>
        <v>420000</v>
      </c>
      <c r="H7" s="69">
        <f t="shared" si="3"/>
        <v>509981.56800000009</v>
      </c>
      <c r="I7" s="69">
        <f t="shared" si="1"/>
        <v>89981.568000000087</v>
      </c>
    </row>
    <row r="8" spans="2:9" ht="24" thickBot="1" x14ac:dyDescent="0.55000000000000004">
      <c r="B8" s="62" t="s">
        <v>91</v>
      </c>
      <c r="C8" s="77">
        <f>C4*C6+C3</f>
        <v>1200000</v>
      </c>
      <c r="E8" s="66">
        <v>5</v>
      </c>
      <c r="F8" s="69">
        <f t="shared" si="0"/>
        <v>30000</v>
      </c>
      <c r="G8" s="69">
        <f t="shared" si="2"/>
        <v>450000</v>
      </c>
      <c r="H8" s="69">
        <f t="shared" si="3"/>
        <v>570580.46208000008</v>
      </c>
      <c r="I8" s="69">
        <f t="shared" si="1"/>
        <v>120580.46208000008</v>
      </c>
    </row>
    <row r="9" spans="2:9" ht="24" thickBot="1" x14ac:dyDescent="0.55000000000000004">
      <c r="B9" s="62" t="s">
        <v>85</v>
      </c>
      <c r="C9" s="77">
        <f>C10-C8</f>
        <v>2894792.9383306075</v>
      </c>
      <c r="E9" s="66">
        <v>6</v>
      </c>
      <c r="F9" s="69">
        <f t="shared" si="0"/>
        <v>30000</v>
      </c>
      <c r="G9" s="69">
        <f t="shared" si="2"/>
        <v>480000</v>
      </c>
      <c r="H9" s="69">
        <f t="shared" si="3"/>
        <v>634815.28980480006</v>
      </c>
      <c r="I9" s="69">
        <f t="shared" si="1"/>
        <v>154815.28980480006</v>
      </c>
    </row>
    <row r="10" spans="2:9" ht="27" thickBot="1" x14ac:dyDescent="0.6">
      <c r="B10" s="188" t="s">
        <v>92</v>
      </c>
      <c r="C10" s="189">
        <f>FV(C5,C6,-C4,-C3,0)</f>
        <v>4094792.9383306075</v>
      </c>
      <c r="E10" s="66">
        <v>7</v>
      </c>
      <c r="F10" s="69">
        <f t="shared" si="0"/>
        <v>30000</v>
      </c>
      <c r="G10" s="69">
        <f t="shared" si="2"/>
        <v>510000</v>
      </c>
      <c r="H10" s="69">
        <f t="shared" si="3"/>
        <v>702904.20719308814</v>
      </c>
      <c r="I10" s="69">
        <f t="shared" si="1"/>
        <v>192904.20719308814</v>
      </c>
    </row>
    <row r="11" spans="2:9" ht="24.75" thickTop="1" thickBot="1" x14ac:dyDescent="0.25">
      <c r="E11" s="66">
        <v>8</v>
      </c>
      <c r="F11" s="69">
        <f t="shared" si="0"/>
        <v>30000</v>
      </c>
      <c r="G11" s="69">
        <f t="shared" si="2"/>
        <v>540000</v>
      </c>
      <c r="H11" s="69">
        <f t="shared" si="3"/>
        <v>775078.45962467347</v>
      </c>
      <c r="I11" s="69">
        <f t="shared" si="1"/>
        <v>235078.45962467347</v>
      </c>
    </row>
    <row r="12" spans="2:9" ht="24" thickBot="1" x14ac:dyDescent="0.25">
      <c r="E12" s="66">
        <v>9</v>
      </c>
      <c r="F12" s="69">
        <f t="shared" si="0"/>
        <v>30000</v>
      </c>
      <c r="G12" s="69">
        <f t="shared" si="2"/>
        <v>570000</v>
      </c>
      <c r="H12" s="69">
        <f t="shared" si="3"/>
        <v>851583.16720215394</v>
      </c>
      <c r="I12" s="69">
        <f t="shared" si="1"/>
        <v>281583.16720215394</v>
      </c>
    </row>
    <row r="13" spans="2:9" ht="24" thickBot="1" x14ac:dyDescent="0.25">
      <c r="E13" s="70">
        <v>10</v>
      </c>
      <c r="F13" s="71">
        <f t="shared" si="0"/>
        <v>30000</v>
      </c>
      <c r="G13" s="71">
        <f t="shared" si="2"/>
        <v>600000</v>
      </c>
      <c r="H13" s="71">
        <f t="shared" si="3"/>
        <v>932678.15723428328</v>
      </c>
      <c r="I13" s="71">
        <f t="shared" si="1"/>
        <v>332678.15723428328</v>
      </c>
    </row>
    <row r="14" spans="2:9" ht="24" thickBot="1" x14ac:dyDescent="0.25">
      <c r="E14" s="66">
        <v>11</v>
      </c>
      <c r="F14" s="69">
        <f t="shared" si="0"/>
        <v>30000</v>
      </c>
      <c r="G14" s="69">
        <f t="shared" si="2"/>
        <v>630000</v>
      </c>
      <c r="H14" s="69">
        <f t="shared" si="3"/>
        <v>1018638.8466683404</v>
      </c>
      <c r="I14" s="69">
        <f t="shared" si="1"/>
        <v>388638.84666834038</v>
      </c>
    </row>
    <row r="15" spans="2:9" ht="24" thickBot="1" x14ac:dyDescent="0.25">
      <c r="E15" s="66">
        <v>12</v>
      </c>
      <c r="F15" s="69">
        <f t="shared" si="0"/>
        <v>30000</v>
      </c>
      <c r="G15" s="69">
        <f t="shared" si="2"/>
        <v>660000</v>
      </c>
      <c r="H15" s="69">
        <f t="shared" si="3"/>
        <v>1109757.177468441</v>
      </c>
      <c r="I15" s="69">
        <f t="shared" si="1"/>
        <v>449757.17746844096</v>
      </c>
    </row>
    <row r="16" spans="2:9" ht="24" thickBot="1" x14ac:dyDescent="0.25">
      <c r="E16" s="66">
        <v>13</v>
      </c>
      <c r="F16" s="69">
        <f t="shared" si="0"/>
        <v>30000</v>
      </c>
      <c r="G16" s="69">
        <f t="shared" si="2"/>
        <v>690000</v>
      </c>
      <c r="H16" s="69">
        <f t="shared" si="3"/>
        <v>1206342.6081165476</v>
      </c>
      <c r="I16" s="69">
        <f t="shared" si="1"/>
        <v>516342.60811654758</v>
      </c>
    </row>
    <row r="17" spans="5:9" ht="24" thickBot="1" x14ac:dyDescent="0.25">
      <c r="E17" s="66">
        <v>14</v>
      </c>
      <c r="F17" s="69">
        <f t="shared" si="0"/>
        <v>30000</v>
      </c>
      <c r="G17" s="69">
        <f t="shared" si="2"/>
        <v>720000</v>
      </c>
      <c r="H17" s="69">
        <f t="shared" si="3"/>
        <v>1308723.1646035404</v>
      </c>
      <c r="I17" s="69">
        <f t="shared" si="1"/>
        <v>588723.16460354044</v>
      </c>
    </row>
    <row r="18" spans="5:9" ht="24" thickBot="1" x14ac:dyDescent="0.25">
      <c r="E18" s="66">
        <v>15</v>
      </c>
      <c r="F18" s="69">
        <f t="shared" si="0"/>
        <v>30000</v>
      </c>
      <c r="G18" s="69">
        <f t="shared" si="2"/>
        <v>750000</v>
      </c>
      <c r="H18" s="69">
        <f t="shared" si="3"/>
        <v>1417246.5544797529</v>
      </c>
      <c r="I18" s="69">
        <f t="shared" si="1"/>
        <v>667246.5544797529</v>
      </c>
    </row>
    <row r="19" spans="5:9" ht="24" thickBot="1" x14ac:dyDescent="0.25">
      <c r="E19" s="66">
        <v>16</v>
      </c>
      <c r="F19" s="69">
        <f t="shared" si="0"/>
        <v>30000</v>
      </c>
      <c r="G19" s="69">
        <f t="shared" si="2"/>
        <v>780000</v>
      </c>
      <c r="H19" s="69">
        <f t="shared" si="3"/>
        <v>1532281.3477485382</v>
      </c>
      <c r="I19" s="69">
        <f t="shared" si="1"/>
        <v>752281.34774853825</v>
      </c>
    </row>
    <row r="20" spans="5:9" ht="24" thickBot="1" x14ac:dyDescent="0.25">
      <c r="E20" s="66">
        <v>17</v>
      </c>
      <c r="F20" s="69">
        <f t="shared" si="0"/>
        <v>30000</v>
      </c>
      <c r="G20" s="69">
        <f t="shared" si="2"/>
        <v>810000</v>
      </c>
      <c r="H20" s="69">
        <f t="shared" si="3"/>
        <v>1654218.2286134507</v>
      </c>
      <c r="I20" s="69">
        <f t="shared" si="1"/>
        <v>844218.22861345066</v>
      </c>
    </row>
    <row r="21" spans="5:9" ht="24" thickBot="1" x14ac:dyDescent="0.25">
      <c r="E21" s="66">
        <v>18</v>
      </c>
      <c r="F21" s="69">
        <f t="shared" si="0"/>
        <v>30000</v>
      </c>
      <c r="G21" s="69">
        <f t="shared" si="2"/>
        <v>840000</v>
      </c>
      <c r="H21" s="69">
        <f t="shared" si="3"/>
        <v>1783471.3223302579</v>
      </c>
      <c r="I21" s="69">
        <f t="shared" si="1"/>
        <v>943471.32233025786</v>
      </c>
    </row>
    <row r="22" spans="5:9" ht="24" thickBot="1" x14ac:dyDescent="0.25">
      <c r="E22" s="66">
        <v>19</v>
      </c>
      <c r="F22" s="69">
        <f t="shared" si="0"/>
        <v>30000</v>
      </c>
      <c r="G22" s="69">
        <f t="shared" si="2"/>
        <v>870000</v>
      </c>
      <c r="H22" s="69">
        <f t="shared" si="3"/>
        <v>1920479.6016700733</v>
      </c>
      <c r="I22" s="69">
        <f t="shared" si="1"/>
        <v>1050479.6016700733</v>
      </c>
    </row>
    <row r="23" spans="5:9" ht="24" thickBot="1" x14ac:dyDescent="0.25">
      <c r="E23" s="70">
        <v>20</v>
      </c>
      <c r="F23" s="71">
        <f t="shared" si="0"/>
        <v>30000</v>
      </c>
      <c r="G23" s="71">
        <f t="shared" si="2"/>
        <v>900000</v>
      </c>
      <c r="H23" s="71">
        <f t="shared" si="3"/>
        <v>2065708.3777702779</v>
      </c>
      <c r="I23" s="71">
        <f t="shared" si="1"/>
        <v>1165708.3777702779</v>
      </c>
    </row>
    <row r="24" spans="5:9" ht="24" thickBot="1" x14ac:dyDescent="0.25">
      <c r="E24" s="66">
        <v>21</v>
      </c>
      <c r="F24" s="69">
        <f t="shared" si="0"/>
        <v>30000</v>
      </c>
      <c r="G24" s="69">
        <f t="shared" si="2"/>
        <v>930000</v>
      </c>
      <c r="H24" s="69">
        <f t="shared" si="3"/>
        <v>2219650.8804364945</v>
      </c>
      <c r="I24" s="69">
        <f t="shared" si="1"/>
        <v>1289650.8804364945</v>
      </c>
    </row>
    <row r="25" spans="5:9" ht="24" thickBot="1" x14ac:dyDescent="0.25">
      <c r="E25" s="66">
        <v>22</v>
      </c>
      <c r="F25" s="69">
        <f t="shared" si="0"/>
        <v>30000</v>
      </c>
      <c r="G25" s="69">
        <f t="shared" si="2"/>
        <v>960000</v>
      </c>
      <c r="H25" s="69">
        <f t="shared" si="3"/>
        <v>2382829.9332626844</v>
      </c>
      <c r="I25" s="69">
        <f t="shared" si="1"/>
        <v>1422829.9332626844</v>
      </c>
    </row>
    <row r="26" spans="5:9" ht="24" thickBot="1" x14ac:dyDescent="0.25">
      <c r="E26" s="66">
        <v>23</v>
      </c>
      <c r="F26" s="69">
        <f t="shared" si="0"/>
        <v>30000</v>
      </c>
      <c r="G26" s="69">
        <f t="shared" si="2"/>
        <v>990000</v>
      </c>
      <c r="H26" s="69">
        <f t="shared" si="3"/>
        <v>2555799.7292584456</v>
      </c>
      <c r="I26" s="69">
        <f t="shared" si="1"/>
        <v>1565799.7292584456</v>
      </c>
    </row>
    <row r="27" spans="5:9" ht="24" thickBot="1" x14ac:dyDescent="0.25">
      <c r="E27" s="66">
        <v>24</v>
      </c>
      <c r="F27" s="69">
        <f t="shared" si="0"/>
        <v>30000</v>
      </c>
      <c r="G27" s="69">
        <f t="shared" si="2"/>
        <v>1020000</v>
      </c>
      <c r="H27" s="69">
        <f t="shared" si="3"/>
        <v>2739147.7130139526</v>
      </c>
      <c r="I27" s="69">
        <f t="shared" si="1"/>
        <v>1719147.7130139526</v>
      </c>
    </row>
    <row r="28" spans="5:9" ht="24" thickBot="1" x14ac:dyDescent="0.25">
      <c r="E28" s="66">
        <v>25</v>
      </c>
      <c r="F28" s="69">
        <f t="shared" si="0"/>
        <v>30000</v>
      </c>
      <c r="G28" s="69">
        <f t="shared" si="2"/>
        <v>1050000</v>
      </c>
      <c r="H28" s="69">
        <f t="shared" si="3"/>
        <v>2933496.5757947899</v>
      </c>
      <c r="I28" s="69">
        <f t="shared" si="1"/>
        <v>1883496.5757947899</v>
      </c>
    </row>
    <row r="29" spans="5:9" ht="24" thickBot="1" x14ac:dyDescent="0.25">
      <c r="E29" s="66">
        <v>26</v>
      </c>
      <c r="F29" s="69">
        <f t="shared" si="0"/>
        <v>30000</v>
      </c>
      <c r="G29" s="69">
        <f t="shared" si="2"/>
        <v>1080000</v>
      </c>
      <c r="H29" s="69">
        <f t="shared" si="3"/>
        <v>3139506.3703424777</v>
      </c>
      <c r="I29" s="69">
        <f t="shared" si="1"/>
        <v>2059506.3703424777</v>
      </c>
    </row>
    <row r="30" spans="5:9" ht="24" thickBot="1" x14ac:dyDescent="0.25">
      <c r="E30" s="66">
        <v>27</v>
      </c>
      <c r="F30" s="69">
        <f t="shared" si="0"/>
        <v>30000</v>
      </c>
      <c r="G30" s="69">
        <f t="shared" si="2"/>
        <v>1110000</v>
      </c>
      <c r="H30" s="69">
        <f t="shared" si="3"/>
        <v>3357876.7525630267</v>
      </c>
      <c r="I30" s="69">
        <f t="shared" si="1"/>
        <v>2247876.7525630267</v>
      </c>
    </row>
    <row r="31" spans="5:9" ht="24" thickBot="1" x14ac:dyDescent="0.25">
      <c r="E31" s="66">
        <v>28</v>
      </c>
      <c r="F31" s="69">
        <f t="shared" si="0"/>
        <v>30000</v>
      </c>
      <c r="G31" s="69">
        <f t="shared" si="2"/>
        <v>1140000</v>
      </c>
      <c r="H31" s="69">
        <f t="shared" si="3"/>
        <v>3589349.3577168086</v>
      </c>
      <c r="I31" s="69">
        <f t="shared" si="1"/>
        <v>2449349.3577168086</v>
      </c>
    </row>
    <row r="32" spans="5:9" ht="24" thickBot="1" x14ac:dyDescent="0.25">
      <c r="E32" s="66">
        <v>29</v>
      </c>
      <c r="F32" s="69">
        <f t="shared" si="0"/>
        <v>30000</v>
      </c>
      <c r="G32" s="69">
        <f t="shared" si="2"/>
        <v>1170000</v>
      </c>
      <c r="H32" s="69">
        <f t="shared" si="3"/>
        <v>3834710.3191798171</v>
      </c>
      <c r="I32" s="69">
        <f t="shared" si="1"/>
        <v>2664710.3191798171</v>
      </c>
    </row>
    <row r="33" spans="5:9" ht="24" thickBot="1" x14ac:dyDescent="0.25">
      <c r="E33" s="70">
        <v>30</v>
      </c>
      <c r="F33" s="71">
        <f t="shared" si="0"/>
        <v>30000</v>
      </c>
      <c r="G33" s="71">
        <f t="shared" si="2"/>
        <v>1200000</v>
      </c>
      <c r="H33" s="71">
        <f t="shared" si="3"/>
        <v>4094792.9383306066</v>
      </c>
      <c r="I33" s="71">
        <f t="shared" si="1"/>
        <v>2894792.9383306066</v>
      </c>
    </row>
    <row r="34" spans="5:9" ht="24" thickBot="1" x14ac:dyDescent="0.25">
      <c r="E34" s="66">
        <v>31</v>
      </c>
      <c r="F34" s="69">
        <f t="shared" si="0"/>
        <v>0</v>
      </c>
      <c r="G34" s="69">
        <f t="shared" si="2"/>
        <v>1200000</v>
      </c>
      <c r="H34" s="69">
        <f t="shared" si="3"/>
        <v>4340480.5146304434</v>
      </c>
      <c r="I34" s="69">
        <f t="shared" si="1"/>
        <v>3140480.5146304434</v>
      </c>
    </row>
    <row r="35" spans="5:9" ht="24" thickBot="1" x14ac:dyDescent="0.25">
      <c r="E35" s="66">
        <v>32</v>
      </c>
      <c r="F35" s="69">
        <f t="shared" si="0"/>
        <v>0</v>
      </c>
      <c r="G35" s="69">
        <f t="shared" si="2"/>
        <v>1200000</v>
      </c>
      <c r="H35" s="69">
        <f t="shared" si="3"/>
        <v>4600909.34550827</v>
      </c>
      <c r="I35" s="69">
        <f t="shared" si="1"/>
        <v>3400909.34550827</v>
      </c>
    </row>
    <row r="36" spans="5:9" ht="24" thickBot="1" x14ac:dyDescent="0.25">
      <c r="E36" s="66">
        <v>33</v>
      </c>
      <c r="F36" s="69">
        <f t="shared" si="0"/>
        <v>0</v>
      </c>
      <c r="G36" s="69">
        <f t="shared" si="2"/>
        <v>1200000</v>
      </c>
      <c r="H36" s="69">
        <f t="shared" si="3"/>
        <v>4876963.9062387664</v>
      </c>
      <c r="I36" s="69">
        <f t="shared" si="1"/>
        <v>3676963.9062387664</v>
      </c>
    </row>
    <row r="37" spans="5:9" ht="24" thickBot="1" x14ac:dyDescent="0.25">
      <c r="E37" s="66">
        <v>34</v>
      </c>
      <c r="F37" s="69">
        <f t="shared" si="0"/>
        <v>0</v>
      </c>
      <c r="G37" s="69">
        <f t="shared" si="2"/>
        <v>1200000</v>
      </c>
      <c r="H37" s="69">
        <f t="shared" si="3"/>
        <v>5169581.7406130927</v>
      </c>
      <c r="I37" s="69">
        <f t="shared" si="1"/>
        <v>3969581.7406130927</v>
      </c>
    </row>
    <row r="38" spans="5:9" ht="24" thickBot="1" x14ac:dyDescent="0.25">
      <c r="E38" s="66">
        <v>35</v>
      </c>
      <c r="F38" s="69">
        <f t="shared" si="0"/>
        <v>0</v>
      </c>
      <c r="G38" s="69">
        <f t="shared" si="2"/>
        <v>1200000</v>
      </c>
      <c r="H38" s="69">
        <f t="shared" si="3"/>
        <v>5479756.6450498784</v>
      </c>
      <c r="I38" s="69">
        <f t="shared" si="1"/>
        <v>4279756.6450498784</v>
      </c>
    </row>
    <row r="39" spans="5:9" ht="24" thickBot="1" x14ac:dyDescent="0.25">
      <c r="E39" s="66">
        <v>36</v>
      </c>
      <c r="F39" s="69">
        <f t="shared" si="0"/>
        <v>0</v>
      </c>
      <c r="G39" s="69">
        <f t="shared" si="2"/>
        <v>1200000</v>
      </c>
      <c r="H39" s="69">
        <f t="shared" si="3"/>
        <v>5808542.0437528715</v>
      </c>
      <c r="I39" s="69">
        <f t="shared" si="1"/>
        <v>4608542.0437528715</v>
      </c>
    </row>
    <row r="40" spans="5:9" ht="24" thickBot="1" x14ac:dyDescent="0.25">
      <c r="E40" s="66">
        <v>37</v>
      </c>
      <c r="F40" s="69">
        <f t="shared" si="0"/>
        <v>0</v>
      </c>
      <c r="G40" s="69">
        <f t="shared" si="2"/>
        <v>1200000</v>
      </c>
      <c r="H40" s="69">
        <f t="shared" si="3"/>
        <v>6157054.566378044</v>
      </c>
      <c r="I40" s="69">
        <f t="shared" si="1"/>
        <v>4957054.566378044</v>
      </c>
    </row>
    <row r="41" spans="5:9" ht="24" thickBot="1" x14ac:dyDescent="0.25">
      <c r="E41" s="66">
        <v>38</v>
      </c>
      <c r="F41" s="69">
        <f t="shared" si="0"/>
        <v>0</v>
      </c>
      <c r="G41" s="69">
        <f t="shared" si="2"/>
        <v>1200000</v>
      </c>
      <c r="H41" s="69">
        <f t="shared" si="3"/>
        <v>6526477.8403607272</v>
      </c>
      <c r="I41" s="69">
        <f t="shared" si="1"/>
        <v>5326477.8403607272</v>
      </c>
    </row>
    <row r="42" spans="5:9" ht="24" thickBot="1" x14ac:dyDescent="0.25">
      <c r="E42" s="66">
        <v>39</v>
      </c>
      <c r="F42" s="69">
        <f t="shared" si="0"/>
        <v>0</v>
      </c>
      <c r="G42" s="69">
        <f t="shared" si="2"/>
        <v>1200000</v>
      </c>
      <c r="H42" s="69">
        <f t="shared" si="3"/>
        <v>6918066.5107823713</v>
      </c>
      <c r="I42" s="69">
        <f t="shared" si="1"/>
        <v>5718066.5107823713</v>
      </c>
    </row>
    <row r="43" spans="5:9" ht="24" thickBot="1" x14ac:dyDescent="0.25">
      <c r="E43" s="70">
        <v>40</v>
      </c>
      <c r="F43" s="71">
        <f t="shared" si="0"/>
        <v>0</v>
      </c>
      <c r="G43" s="71">
        <f t="shared" si="2"/>
        <v>1200000</v>
      </c>
      <c r="H43" s="71">
        <f t="shared" si="3"/>
        <v>7333150.5014293138</v>
      </c>
      <c r="I43" s="71">
        <f t="shared" si="1"/>
        <v>6133150.5014293138</v>
      </c>
    </row>
  </sheetData>
  <mergeCells count="1">
    <mergeCell ref="B2:C2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329D-B999-4333-909A-32EE53F006FE}">
  <dimension ref="B2:B5"/>
  <sheetViews>
    <sheetView workbookViewId="0">
      <selection activeCell="F2" sqref="F2"/>
    </sheetView>
  </sheetViews>
  <sheetFormatPr defaultRowHeight="12.75" x14ac:dyDescent="0.2"/>
  <cols>
    <col min="2" max="2" width="18.28515625" customWidth="1"/>
  </cols>
  <sheetData>
    <row r="2" spans="2:2" ht="23.25" x14ac:dyDescent="0.5">
      <c r="B2" s="64" t="s">
        <v>79</v>
      </c>
    </row>
    <row r="3" spans="2:2" ht="23.25" x14ac:dyDescent="0.5">
      <c r="B3" s="61" t="s">
        <v>84</v>
      </c>
    </row>
    <row r="4" spans="2:2" ht="23.25" x14ac:dyDescent="0.5">
      <c r="B4" s="63">
        <v>33</v>
      </c>
    </row>
    <row r="5" spans="2:2" ht="23.25" x14ac:dyDescent="0.5">
      <c r="B5" s="6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Unit 1 - งบแสดงฐานะการเงิน</vt:lpstr>
      <vt:lpstr>Unit 2 - งบรายรับรายจ่าย</vt:lpstr>
      <vt:lpstr>Unit 3 - ตรวจสุขภาพการเงิน</vt:lpstr>
      <vt:lpstr>คำนวณเงินกู้ (Loan Calculator)</vt:lpstr>
      <vt:lpstr>วางแผนลงทุนเอง</vt:lpstr>
      <vt:lpstr>อ้างอิง</vt:lpstr>
      <vt:lpstr>'Unit 1 - งบแสดงฐานะการเงิน'!Print_Area</vt:lpstr>
      <vt:lpstr>'Unit 2 - งบรายรับรายจ่าย'!Print_Area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Somsap Rattanamontrichai</dc:creator>
  <cp:keywords/>
  <dc:description/>
  <cp:lastModifiedBy>สมทรัพย์ รัตนมนตรีชัย</cp:lastModifiedBy>
  <cp:revision/>
  <cp:lastPrinted>2020-11-02T10:35:23Z</cp:lastPrinted>
  <dcterms:created xsi:type="dcterms:W3CDTF">2018-07-11T13:22:20Z</dcterms:created>
  <dcterms:modified xsi:type="dcterms:W3CDTF">2023-11-09T07:48:33Z</dcterms:modified>
  <cp:category/>
  <cp:contentStatus/>
</cp:coreProperties>
</file>